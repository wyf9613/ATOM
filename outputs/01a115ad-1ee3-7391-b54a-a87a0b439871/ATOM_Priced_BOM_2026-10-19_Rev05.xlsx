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d90ef3e63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4927646197de4bb5"/>
    <x:sheet xmlns:r="http://schemas.openxmlformats.org/officeDocument/2006/relationships" name="Alternatives" sheetId="2" r:id="R5f18adba1d3f43f0"/>
    <x:sheet xmlns:r="http://schemas.openxmlformats.org/officeDocument/2006/relationships" name="Sources" sheetId="3" r:id="Rec7c67923f47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%"/>
  </x:numFmts>
  <x:fonts count="5">
    <x:font>
      <x:sz val="11"/>
      <x:name val="Carlito"/>
    </x:font>
    <x:font>
      <x:sz val="10"/>
      <x:color rgb="FF111111"/>
      <x:name val="Arial"/>
    </x:font>
    <x:font>
      <x:b/>
      <x:sz val="15"/>
      <x:color rgb="FF111111"/>
      <x:name val="Arial"/>
    </x:font>
    <x:font>
      <x:b/>
      <x:sz val="10"/>
      <x:color rgb="FF11111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0F0"/>
      </x:patternFill>
    </x:fill>
    <x:fill>
      <x:patternFill patternType="solid">
        <x:fgColor rgb="FF222222"/>
      </x:patternFill>
    </x:fill>
    <x:fill>
      <x:patternFill patternType="solid">
        <x:fgColor rgb="FFF4F4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16cd98da84754" /><Relationship Type="http://schemas.openxmlformats.org/officeDocument/2006/relationships/theme" Target="/xl/theme/theme1.xml" Id="R1735722a1bc3499f" /><Relationship Type="http://schemas.openxmlformats.org/officeDocument/2006/relationships/sharedStrings" Target="/xl/sharedStrings.xml" Id="R4036b3bbee024499" /><Relationship Type="http://schemas.openxmlformats.org/officeDocument/2006/relationships/worksheet" Target="/xl/worksheets/sheet1.xml" Id="R4927646197de4bb5" /><Relationship Type="http://schemas.openxmlformats.org/officeDocument/2006/relationships/worksheet" Target="/xl/worksheets/sheet2.xml" Id="R5f18adba1d3f43f0" /><Relationship Type="http://schemas.openxmlformats.org/officeDocument/2006/relationships/worksheet" Target="/xl/worksheets/sheet3.xml" Id="Rec7c67923f4748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8.130000114440918" hidden="0" customWidth="1"/>
    <x:col min="2" max="2" width="35.630001068115234" hidden="0" customWidth="1"/>
    <x:col min="3" max="3" width="24.3799991607666" hidden="0" customWidth="1"/>
    <x:col min="4" max="4" width="5.630000114440918" hidden="0" customWidth="1"/>
    <x:col min="5" max="5" width="10.630000114440918" hidden="0" customWidth="1"/>
    <x:col min="6" max="6" width="11.880000114440918" hidden="0" customWidth="1"/>
    <x:col min="7" max="7" width="25" hidden="0" customWidth="1"/>
    <x:col min="8" max="8" width="20.6299991607666" hidden="0" customWidth="1"/>
    <x:col min="9" max="9" width="9.380000114440918" hidden="0" customWidth="1"/>
    <x:col min="10" max="10" width="66.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Project ATOM - Procurement budget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19 Oct 2026. AUD. Public prices plus explicit allowances. Not a supplier quotation.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 t="str">
        <x:v>Capstone team limit</x:v>
      </x:c>
      <x:c r="C5" s="5" t="n">
        <x:v>800</x:v>
      </x:c>
      <x:c r="D5" s="2"/>
      <x:c r="E5" s="2"/>
      <x:c r="F5" s="2"/>
      <x:c r="G5" s="2" t="str">
        <x:v>Capstone electrical</x:v>
      </x:c>
      <x:c r="H5" s="7" t="n">
        <x:f>SUM(F14:F20)</x:f>
        <x:v>213.53</x:v>
      </x:c>
      <x:c r="I5" s="2"/>
      <x:c r="J5" s="2"/>
    </x:row>
    <x:row r="6" ht="24" customHeight="1">
      <x:c r="A6" s="2"/>
      <x:c r="B6" s="2" t="str">
        <x:v>Prior team spending</x:v>
      </x:c>
      <x:c r="C6" s="5"/>
      <x:c r="D6" s="2"/>
      <x:c r="E6" s="2"/>
      <x:c r="F6" s="2"/>
      <x:c r="G6" s="2" t="str">
        <x:v>Capstone with computing</x:v>
      </x:c>
      <x:c r="H6" s="8" t="n">
        <x:f>H5+F24</x:f>
        <x:v>602.96</x:v>
      </x:c>
      <x:c r="I6" s="2"/>
      <x:c r="J6" s="2"/>
    </x:row>
    <x:row r="7" ht="24" customHeight="1">
      <x:c r="A7" s="2"/>
      <x:c r="B7" s="2" t="str">
        <x:v>Pi kits to purchase</x:v>
      </x:c>
      <x:c r="C7" s="6" t="n">
        <x:v>1</x:v>
      </x:c>
      <x:c r="D7" s="2"/>
      <x:c r="E7" s="2"/>
      <x:c r="F7" s="2"/>
      <x:c r="G7" s="2" t="str">
        <x:v>Chemical team request</x:v>
      </x:c>
      <x:c r="H7" s="8" t="n">
        <x:f>SUM(F21:F22)</x:f>
        <x:v>1099</x:v>
      </x:c>
      <x:c r="I7" s="2"/>
      <x:c r="J7" s="2"/>
    </x:row>
    <x:row r="8" ht="24" customHeight="1">
      <x:c r="A8" s="2"/>
      <x:c r="B8" s="2" t="str">
        <x:v>Pi kit reference price</x:v>
      </x:c>
      <x:c r="C8" s="5" t="n">
        <x:v>389.43</x:v>
      </x:c>
      <x:c r="D8" s="2"/>
      <x:c r="E8" s="2"/>
      <x:c r="F8" s="2"/>
      <x:c r="G8" s="2" t="str">
        <x:v>Combined request</x:v>
      </x:c>
      <x:c r="H8" s="8" t="n">
        <x:f>SUM(H6:H7)</x:f>
        <x:v>1701.96</x:v>
      </x:c>
      <x:c r="I8" s="2"/>
      <x:c r="J8" s="2"/>
    </x:row>
    <x:row r="9" ht="24" customHeight="1">
      <x:c r="A9" s="2"/>
      <x:c r="B9" s="2" t="str">
        <x:v>Enter prior spend to calculate balance.</x:v>
      </x:c>
      <x:c r="C9" s="2"/>
      <x:c r="D9" s="2"/>
      <x:c r="E9" s="2"/>
      <x:c r="F9" s="2"/>
      <x:c r="G9" s="2" t="str">
        <x:v>Remaining after spending</x:v>
      </x:c>
      <x:c r="H9" s="7" t="str">
        <x:f>IF(ISNUMBER(C6),C5-C6-H6,"Enter prior spend")</x:f>
        <x:v>Enter prior spend</x:v>
      </x:c>
      <x:c r="I9" s="2"/>
      <x:c r="J9" s="2"/>
    </x:row>
    <x:row r="10" ht="24" customHeight="1">
      <x:c r="A10" s="2"/>
      <x:c r="B10" s="2"/>
      <x:c r="C10" s="2"/>
      <x:c r="D10" s="2"/>
      <x:c r="E10" s="2"/>
      <x:c r="F10" s="2"/>
      <x:c r="G10" s="2" t="str">
        <x:v>Headroom before prior spend</x:v>
      </x:c>
      <x:c r="H10" s="7" t="n">
        <x:f>C5-H6</x:f>
        <x:v>197.03999999999996</x:v>
      </x:c>
      <x:c r="I10" s="2"/>
      <x:c r="J10" s="2"/>
    </x:row>
    <x:row r="11" ht="24" customHeight="1">
      <x:c r="A11" s="2" t="str">
        <x:v>Preferred: BLUETTI integrated station for arm + Pi. Chemical team funding request is separate; approval/validation pending.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2" customHeight="1">
      <x:c r="A13" s="11" t="str">
        <x:v>ID</x:v>
      </x:c>
      <x:c r="B13" s="11" t="str">
        <x:v>Item / model</x:v>
      </x:c>
      <x:c r="C13" s="11" t="str">
        <x:v>Supplier</x:v>
      </x:c>
      <x:c r="D13" s="11" t="str">
        <x:v>Qty</x:v>
      </x:c>
      <x:c r="E13" s="11" t="str">
        <x:v>Unit AUD</x:v>
      </x:c>
      <x:c r="F13" s="11" t="str">
        <x:v>Line AUD</x:v>
      </x:c>
      <x:c r="G13" s="11" t="str">
        <x:v>Proposed fund</x:v>
      </x:c>
      <x:c r="H13" s="11" t="str">
        <x:v>Price basis</x:v>
      </x:c>
      <x:c r="I13" s="11" t="str">
        <x:v>Source ID</x:v>
      </x:c>
      <x:c r="J13" s="11" t="str">
        <x:v>Selection condition</x:v>
      </x:c>
    </x:row>
    <x:row r="14" ht="57" customHeight="1">
      <x:c r="A14" s="14" t="str">
        <x:v>A01</x:v>
      </x:c>
      <x:c r="B14" s="15" t="str">
        <x:v>OEM UF850 breakout cable</x:v>
      </x:c>
      <x:c r="C14" s="15" t="str">
        <x:v>OEM / approved reseller</x:v>
      </x:c>
      <x:c r="D14" s="16" t="n">
        <x:v>1</x:v>
      </x:c>
      <x:c r="E14" s="17" t="n">
        <x:v>80</x:v>
      </x:c>
      <x:c r="F14" s="17" t="n">
        <x:f>D14*E14</x:f>
        <x:v>80</x:v>
      </x:c>
      <x:c r="G14" s="15" t="str">
        <x:v>Capstone</x:v>
      </x:c>
      <x:c r="H14" s="15" t="str">
        <x:v>Allowance / RFQ</x:v>
      </x:c>
      <x:c r="I14" s="14" t="str">
        <x:v>S9</x:v>
      </x:c>
      <x:c r="J14" s="15" t="str">
        <x:v>No verified public Australian price. Inspect supplied cable first. Replace allowance with written compatible-cable quote.</x:v>
      </x:c>
    </x:row>
    <x:row r="15" ht="57" customHeight="1">
      <x:c r="A15" s="2" t="str">
        <x:v>A02</x:v>
      </x:c>
      <x:c r="B15" s="13" t="str">
        <x:v>Pololu D24V50F5</x:v>
      </x:c>
      <x:c r="C15" s="13" t="str">
        <x:v>Core Electronics</x:v>
      </x:c>
      <x:c r="D15" s="12" t="n">
        <x:v>1</x:v>
      </x:c>
      <x:c r="E15" s="7" t="n">
        <x:v>49.95</x:v>
      </x:c>
      <x:c r="F15" s="7" t="n">
        <x:f>D15*E15</x:f>
        <x:v>49.95</x:v>
      </x:c>
      <x:c r="G15" s="13" t="str">
        <x:v>Capstone</x:v>
      </x:c>
      <x:c r="H15" s="13" t="str">
        <x:v>Public retail</x:v>
      </x:c>
      <x:c r="I15" s="2" t="str">
        <x:v>S1</x:v>
      </x:c>
      <x:c r="J15" s="13" t="str">
        <x:v>Candidate only. Verify input transients, current/thermal budget and ESP32/URT-1 USB power path.</x:v>
      </x:c>
    </x:row>
    <x:row r="16" ht="57" customHeight="1">
      <x:c r="A16" s="14" t="str">
        <x:v>A03</x:v>
      </x:c>
      <x:c r="B16" s="15" t="str">
        <x:v>CE07271 XL4015 adjustable</x:v>
      </x:c>
      <x:c r="C16" s="15" t="str">
        <x:v>Core Electronics</x:v>
      </x:c>
      <x:c r="D16" s="16" t="n">
        <x:v>1</x:v>
      </x:c>
      <x:c r="E16" s="17" t="n">
        <x:v>2.4</x:v>
      </x:c>
      <x:c r="F16" s="17" t="n">
        <x:f>D16*E16</x:f>
        <x:v>2.4</x:v>
      </x:c>
      <x:c r="G16" s="15" t="str">
        <x:v>Capstone</x:v>
      </x:c>
      <x:c r="H16" s="15" t="str">
        <x:v>Public retail</x:v>
      </x:c>
      <x:c r="I16" s="14" t="str">
        <x:v>S2</x:v>
      </x:c>
      <x:c r="J16" s="15" t="str">
        <x:v>Controlled bench prototype only. Set7.4 V unloaded, verify peak load/overshoot/heat and servo variant. No automatic approval for unattended operation.</x:v>
      </x:c>
    </x:row>
    <x:row r="17" ht="57" customHeight="1">
      <x:c r="A17" s="2" t="str">
        <x:v>A04a</x:v>
      </x:c>
      <x:c r="B17" s="13" t="str">
        <x:v>CE08311 2-pin terminal</x:v>
      </x:c>
      <x:c r="C17" s="13" t="str">
        <x:v>Core Electronics</x:v>
      </x:c>
      <x:c r="D17" s="12" t="n">
        <x:v>4</x:v>
      </x:c>
      <x:c r="E17" s="7" t="n">
        <x:v>0.32</x:v>
      </x:c>
      <x:c r="F17" s="7" t="n">
        <x:f>D17*E17</x:f>
        <x:v>1.28</x:v>
      </x:c>
      <x:c r="G17" s="13" t="str">
        <x:v>Capstone</x:v>
      </x:c>
      <x:c r="H17" s="13" t="str">
        <x:v>Public retail</x:v>
      </x:c>
      <x:c r="I17" s="2" t="str">
        <x:v>S3</x:v>
      </x:c>
      <x:c r="J17" s="13" t="str">
        <x:v>Budget subcomponent of item04, not four additional project functions. Confirm PCB/connector current and insulation.</x:v>
      </x:c>
    </x:row>
    <x:row r="18" ht="57" customHeight="1">
      <x:c r="A18" s="14" t="str">
        <x:v>A04b</x:v>
      </x:c>
      <x:c r="B18" s="15" t="str">
        <x:v>Jaycar SZ2045</x:v>
      </x:c>
      <x:c r="C18" s="15" t="str">
        <x:v>Jaycar</x:v>
      </x:c>
      <x:c r="D18" s="16" t="n">
        <x:v>2</x:v>
      </x:c>
      <x:c r="E18" s="17" t="n">
        <x:v>4.95</x:v>
      </x:c>
      <x:c r="F18" s="17" t="n">
        <x:f>D18*E18</x:f>
        <x:v>9.9</x:v>
      </x:c>
      <x:c r="G18" s="15" t="str">
        <x:v>Capstone</x:v>
      </x:c>
      <x:c r="H18" s="15" t="str">
        <x:v>Public retail</x:v>
      </x:c>
      <x:c r="I18" s="14" t="str">
        <x:v>S4</x:v>
      </x:c>
      <x:c r="J18" s="15" t="str">
        <x:v>Fuse holder only. Fuse rating/interrupt capacity set by electrical review. Not a30 A circuit design.</x:v>
      </x:c>
    </x:row>
    <x:row r="19" ht="57" customHeight="1">
      <x:c r="A19" s="2" t="str">
        <x:v>A04c</x:v>
      </x:c>
      <x:c r="B19" s="13" t="str">
        <x:v>Wire, fuses, board, guard, switch/filter as needed</x:v>
      </x:c>
      <x:c r="C19" s="13" t="str">
        <x:v>Cluster-approved supplier</x:v>
      </x:c>
      <x:c r="D19" s="12" t="n">
        <x:v>1</x:v>
      </x:c>
      <x:c r="E19" s="7" t="n">
        <x:v>50</x:v>
      </x:c>
      <x:c r="F19" s="7" t="n">
        <x:f>D19*E19</x:f>
        <x:v>50</x:v>
      </x:c>
      <x:c r="G19" s="13" t="str">
        <x:v>Capstone</x:v>
      </x:c>
      <x:c r="H19" s="13" t="str">
        <x:v>Allowance / RFQ</x:v>
      </x:c>
      <x:c r="I19" s="2" t="str">
        <x:v>E1</x:v>
      </x:c>
      <x:c r="J19" s="13" t="str">
        <x:v>Engineering allowance. Itemise actual parts after current/thermal/stop review. No direct mains wiring included.</x:v>
      </x:c>
    </x:row>
    <x:row r="20" ht="57" customHeight="1">
      <x:c r="A20" s="14" t="str">
        <x:v>F01</x:v>
      </x:c>
      <x:c r="B20" s="15" t="str">
        <x:v>Combined planning allowance</x:v>
      </x:c>
      <x:c r="C20" s="15" t="str">
        <x:v>Freight allowance</x:v>
      </x:c>
      <x:c r="D20" s="16" t="n">
        <x:v>1</x:v>
      </x:c>
      <x:c r="E20" s="17" t="n">
        <x:v>20</x:v>
      </x:c>
      <x:c r="F20" s="17" t="n">
        <x:f>D20*E20</x:f>
        <x:v>20</x:v>
      </x:c>
      <x:c r="G20" s="15" t="str">
        <x:v>Capstone</x:v>
      </x:c>
      <x:c r="H20" s="15" t="str">
        <x:v>Allowance / RFQ</x:v>
      </x:c>
      <x:c r="I20" s="14" t="str">
        <x:v>E2</x:v>
      </x:c>
      <x:c r="J20" s="15" t="str">
        <x:v>Not a supplier quote. Replace with per-supplier shipping in final system entries.</x:v>
      </x:c>
    </x:row>
    <x:row r="21" ht="57" customHeight="1">
      <x:c r="A21" s="2" t="str">
        <x:v>B01</x:v>
      </x:c>
      <x:c r="B21" s="13" t="str">
        <x:v>BLUETTI Elite 100 V2 AU - preferred candidate</x:v>
      </x:c>
      <x:c r="C21" s="13" t="str">
        <x:v>BLUETTI AU / approved reseller</x:v>
      </x:c>
      <x:c r="D21" s="12" t="n">
        <x:v>1</x:v>
      </x:c>
      <x:c r="E21" s="7" t="n">
        <x:v>999</x:v>
      </x:c>
      <x:c r="F21" s="7" t="n">
        <x:f>D21*E21</x:f>
        <x:v>999</x:v>
      </x:c>
      <x:c r="G21" s="13" t="str">
        <x:v>Chemical team request</x:v>
      </x:c>
      <x:c r="H21" s="13" t="str">
        <x:v>Public retail</x:v>
      </x:c>
      <x:c r="I21" s="2" t="str">
        <x:v>S5 / S14</x:v>
      </x:c>
      <x:c r="J21" s="13" t="str">
        <x:v>Preferred integrated station. Retain original arm AC lead and Pi PSU. Before purchase confirm manufacturer-use conditions, electrical protection and combined-load test plan.</x:v>
      </x:c>
    </x:row>
    <x:row r="22" ht="57" customHeight="1">
      <x:c r="A22" s="14" t="str">
        <x:v>B02</x:v>
      </x:c>
      <x:c r="B22" s="15" t="str">
        <x:v>Mounting/guard/approved lead and delivery</x:v>
      </x:c>
      <x:c r="C22" s="15" t="str">
        <x:v>Cluster-approved supplier</x:v>
      </x:c>
      <x:c r="D22" s="16" t="n">
        <x:v>1</x:v>
      </x:c>
      <x:c r="E22" s="17" t="n">
        <x:v>100</x:v>
      </x:c>
      <x:c r="F22" s="17" t="n">
        <x:f>D22*E22</x:f>
        <x:v>100</x:v>
      </x:c>
      <x:c r="G22" s="15" t="str">
        <x:v>Chemical team request</x:v>
      </x:c>
      <x:c r="H22" s="15" t="str">
        <x:v>Allowance / RFQ</x:v>
      </x:c>
      <x:c r="I22" s="14" t="str">
        <x:v>E3</x:v>
      </x:c>
      <x:c r="J22" s="15" t="str">
        <x:v>Part of item05 integration. Allowance only; any extra inspection or protection cost still needs quote. Not certified fire containment.</x:v>
      </x:c>
    </x:row>
    <x:row r="23" ht="24" customHeight="1">
      <x:c r="A23" s="2"/>
      <x:c r="B23" s="13"/>
      <x:c r="C23" s="13"/>
      <x:c r="D23" s="12"/>
      <x:c r="E23" s="7"/>
      <x:c r="F23" s="7"/>
      <x:c r="G23" s="13"/>
      <x:c r="H23" s="13"/>
      <x:c r="I23" s="2"/>
      <x:c r="J23" s="13"/>
    </x:row>
    <x:row r="24" ht="57" customHeight="1">
      <x:c r="A24" s="14" t="str">
        <x:v>C01</x:v>
      </x:c>
      <x:c r="B24" s="15" t="str">
        <x:v>Raspberry Pi 5 8GB kit CE09799</x:v>
      </x:c>
      <x:c r="C24" s="15" t="str">
        <x:v>Core Electronics</x:v>
      </x:c>
      <x:c r="D24" s="16" t="n">
        <x:f>C7</x:f>
        <x:v>1</x:v>
      </x:c>
      <x:c r="E24" s="17" t="n">
        <x:f>C8</x:f>
        <x:v>389.43</x:v>
      </x:c>
      <x:c r="F24" s="17" t="n">
        <x:f>D24*E24</x:f>
        <x:v>389.43</x:v>
      </x:c>
      <x:c r="G24" s="15" t="str">
        <x:v>Capstone</x:v>
      </x:c>
      <x:c r="H24" s="15" t="str">
        <x:v>Public retail</x:v>
      </x:c>
      <x:c r="I24" s="14" t="str">
        <x:v>S7</x:v>
      </x:c>
      <x:c r="J24" s="15" t="str">
        <x:v>Included in team purchase budget. Validate task performance; price vehicle power/mounting from headroom.</x:v>
      </x:c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 t="str">
        <x:v>Five power items plus one Pi kit are budgeted; battery funding is a separate Chemical team request.</x:v>
      </x:c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A01 cable AUD80, A04c AUD50, freight AUD20 and battery installation AUD100 are allowances, not quotes.</x:v>
      </x:c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 t="str">
        <x:v>Core minimum freight is not a final shipping quote. Confirm GST on Jaycar/BLUETTI proformas.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Round each final supplier budget line up to whole AUD in the Capstone App. Do not submit generic allowance rows.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 t="str">
        <x:v>Do not treat this remaining balance as the approved account balance. Prior expenditure is currently unknown.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880000114440918" hidden="0" customWidth="1"/>
    <x:col min="3" max="3" width="13.130000114440918" hidden="0" customWidth="1"/>
    <x:col min="4" max="4" width="13.130000114440918" hidden="0" customWidth="1"/>
    <x:col min="5" max="5" width="21.8799991607666" hidden="0" customWidth="1"/>
    <x:col min="6" max="6" width="8.75" hidden="0" customWidth="1"/>
    <x:col min="7" max="7" width="25" hidden="0" customWidth="1"/>
    <x:col min="8" max="8" width="67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Battery and computing alternatives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11" t="str">
        <x:v>Item</x:v>
      </x:c>
      <x:c r="B4" s="11" t="str">
        <x:v>Public AUD</x:v>
      </x:c>
      <x:c r="C4" s="11" t="str">
        <x:v>Capacity Wh</x:v>
      </x:c>
      <x:c r="D4" s="11" t="str">
        <x:v>Rated AC W</x:v>
      </x:c>
      <x:c r="E4" s="11" t="str">
        <x:v>Chemistry / type</x:v>
      </x:c>
      <x:c r="F4" s="11" t="str">
        <x:v>Source</x:v>
      </x:c>
      <x:c r="G4" s="11" t="str">
        <x:v>Proposed route</x:v>
      </x:c>
      <x:c r="H4" s="11" t="str">
        <x:v>Condition</x:v>
      </x:c>
    </x:row>
    <x:row r="5" ht="65" customHeight="1">
      <x:c r="A5" s="13" t="str">
        <x:v>BLUETTI Elite100 V2</x:v>
      </x:c>
      <x:c r="B5" s="19" t="n">
        <x:v>999</x:v>
      </x:c>
      <x:c r="C5" s="13" t="n">
        <x:v>1024</x:v>
      </x:c>
      <x:c r="D5" s="13" t="n">
        <x:v>1800</x:v>
      </x:c>
      <x:c r="E5" s="13" t="str">
        <x:v>LFP integrated station</x:v>
      </x:c>
      <x:c r="F5" s="13" t="str">
        <x:v>S5 / S14</x:v>
      </x:c>
      <x:c r="G5" s="13" t="str">
        <x:v>Preferred - Chemical request</x:v>
      </x:c>
      <x:c r="H5" s="13" t="str">
        <x:v>Integrated station for arm AC controller and Pi PSU. Confirm intended-use conditions, electrical protection and combined load.</x:v>
      </x:c>
    </x:row>
    <x:row r="6" ht="65" customHeight="1">
      <x:c r="A6" s="13" t="str">
        <x:v>EcoFlow DELTA3 Classic</x:v>
      </x:c>
      <x:c r="B6" s="19" t="n">
        <x:v>1099</x:v>
      </x:c>
      <x:c r="C6" s="13" t="n">
        <x:v>1024</x:v>
      </x:c>
      <x:c r="D6" s="13" t="n">
        <x:v>1800</x:v>
      </x:c>
      <x:c r="E6" s="13" t="str">
        <x:v>LFP integrated station</x:v>
      </x:c>
      <x:c r="F6" s="13" t="str">
        <x:v>S6</x:v>
      </x:c>
      <x:c r="G6" s="13" t="str">
        <x:v>Alternative only</x:v>
      </x:c>
      <x:c r="H6" s="13" t="str">
        <x:v>Canonical page says preorder/sold out. Older promotion prices excluded.</x:v>
      </x:c>
    </x:row>
    <x:row r="7" ht="65" customHeight="1">
      <x:c r="A7" s="13" t="str">
        <x:v>Pi 5 8GB starter kit</x:v>
      </x:c>
      <x:c r="B7" s="19" t="n">
        <x:v>389.43</x:v>
      </x:c>
      <x:c r="C7" s="13"/>
      <x:c r="D7" s="13"/>
      <x:c r="E7" s="13" t="str">
        <x:v>ARM64 SBC kit</x:v>
      </x:c>
      <x:c r="F7" s="13" t="str">
        <x:v>S7</x:v>
      </x:c>
      <x:c r="G7" s="13" t="str">
        <x:v>Capstone purchase</x:v>
      </x:c>
      <x:c r="H7" s="13" t="str">
        <x:v>Included in Budget. Full task performance remains to be validated.</x:v>
      </x:c>
    </x:row>
    <x:row r="8" ht="65" customHeight="1">
      <x:c r="A8" s="13" t="str">
        <x:v>GEEKOM A5 range</x:v>
      </x:c>
      <x:c r="B8" s="19" t="n">
        <x:v>709</x:v>
      </x:c>
      <x:c r="C8" s="13"/>
      <x:c r="D8" s="13"/>
      <x:c r="E8" s="13" t="str">
        <x:v>x86 range lower bound</x:v>
      </x:c>
      <x:c r="F8" s="13" t="str">
        <x:v>S8</x:v>
      </x:c>
      <x:c r="G8" s="13" t="str">
        <x:v>Borrow or Capstone</x:v>
      </x:c>
      <x:c r="H8" s="13" t="str">
        <x:v>Range709-909, exact variant quote pending. No coupon assumed. Not in main total.</x:v>
      </x:c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 t="str">
        <x:v>Illustrative runtime for a1024Wh station; no robot measurement</x:v>
      </x:c>
      <x:c r="B10" s="2"/>
      <x:c r="C10" s="2"/>
      <x:c r="D10" s="2"/>
      <x:c r="E10" s="2"/>
      <x:c r="F10" s="2"/>
      <x:c r="G10" s="2"/>
      <x:c r="H10" s="2"/>
    </x:row>
    <x:row r="11" ht="32" customHeight="1">
      <x:c r="A11" s="11" t="str">
        <x:v>Energy Wh</x:v>
      </x:c>
      <x:c r="B11" s="11" t="str">
        <x:v>Net usable factor</x:v>
      </x:c>
      <x:c r="C11" s="11" t="str">
        <x:v>Average AC load W</x:v>
      </x:c>
      <x:c r="D11" s="11" t="str">
        <x:v>Runtime hours</x:v>
      </x:c>
      <x:c r="E11" s="2"/>
      <x:c r="F11" s="2"/>
      <x:c r="G11" s="2"/>
      <x:c r="H11" s="2"/>
    </x:row>
    <x:row r="12" ht="24" customHeight="1">
      <x:c r="A12" s="2" t="n">
        <x:v>1024</x:v>
      </x:c>
      <x:c r="B12" s="18" t="n">
        <x:v>0.8</x:v>
      </x:c>
      <x:c r="C12" s="2" t="n">
        <x:v>300</x:v>
      </x:c>
      <x:c r="D12" s="7" t="n">
        <x:f>A12*B12/C12</x:f>
        <x:v>2.730666666666667</x:v>
      </x:c>
      <x:c r="E12" s="2"/>
      <x:c r="F12" s="2"/>
      <x:c r="G12" s="2"/>
      <x:c r="H12" s="2"/>
    </x:row>
    <x:row r="13" ht="24" customHeight="1">
      <x:c r="A13" s="2" t="n">
        <x:v>1024</x:v>
      </x:c>
      <x:c r="B13" s="18" t="n">
        <x:v>0.8</x:v>
      </x:c>
      <x:c r="C13" s="2" t="n">
        <x:v>500</x:v>
      </x:c>
      <x:c r="D13" s="7" t="n">
        <x:f>A13*B13/C13</x:f>
        <x:v>1.6384</x:v>
      </x:c>
      <x:c r="E13" s="2"/>
      <x:c r="F13" s="2"/>
      <x:c r="G13" s="2"/>
      <x:c r="H13" s="2"/>
    </x:row>
    <x:row r="14" ht="24" customHeight="1">
      <x:c r="A14" s="2" t="n">
        <x:v>1024</x:v>
      </x:c>
      <x:c r="B14" s="18" t="n">
        <x:v>0.8</x:v>
      </x:c>
      <x:c r="C14" s="2" t="n">
        <x:v>1000</x:v>
      </x:c>
      <x:c r="D14" s="7" t="n">
        <x:f>A14*B14/C14</x:f>
        <x:v>0.8192</x:v>
      </x:c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 t="str">
        <x:v>2 h target needs about410 W or less combined average AC load using the assumed0.8 usable factor. Measure actual task power.</x:v>
      </x:c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5" hidden="0" customWidth="1"/>
    <x:col min="2" max="2" width="42.5" hidden="0" customWidth="1"/>
    <x:col min="3" max="3" width="77.5" hidden="0" customWidth="1"/>
    <x:col min="4" max="4" width="75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Sources checked 19 October 2026</x:v>
      </x:c>
      <x:c r="B2" s="2"/>
      <x:c r="C2" s="2"/>
      <x:c r="D2" s="2"/>
    </x:row>
    <x:row r="3" ht="24" customHeight="1">
      <x:c r="A3" s="2"/>
      <x:c r="B3" s="2"/>
      <x:c r="C3" s="2"/>
      <x:c r="D3" s="2"/>
    </x:row>
    <x:row r="4" ht="32" customHeight="1">
      <x:c r="A4" s="11" t="str">
        <x:v>ID</x:v>
      </x:c>
      <x:c r="B4" s="11" t="str">
        <x:v>Source</x:v>
      </x:c>
      <x:c r="C4" s="11" t="str">
        <x:v>URL</x:v>
      </x:c>
      <x:c r="D4" s="11" t="str">
        <x:v>Observation / limitation</x:v>
      </x:c>
    </x:row>
    <x:row r="5" ht="61" customHeight="1">
      <x:c r="A5" s="13" t="str">
        <x:v>S1</x:v>
      </x:c>
      <x:c r="B5" s="13" t="str">
        <x:v>Core Electronics: Pololu D24V50F5, SKU POLOLU-2851</x:v>
      </x:c>
      <x:c r="C5" s="13" t="str">
        <x:v>https://core-electronics.com.au/pololu-5v-5a-step-down-voltage-regulator-d24v50f5.html</x:v>
      </x:c>
      <x:c r="D5" s="13" t="str">
        <x:v>49.95 AUD incl GST. Fixed 5 V; input up to 38 V. Output current and temperature require derating.</x:v>
      </x:c>
    </x:row>
    <x:row r="6" ht="61" customHeight="1">
      <x:c r="A6" s="13" t="str">
        <x:v>S2</x:v>
      </x:c>
      <x:c r="B6" s="13" t="str">
        <x:v>Core Electronics: adjustable XL4015, SKU CE07271</x:v>
      </x:c>
      <x:c r="C6" s="13" t="str">
        <x:v>https://core-electronics.com.au/dc-dc-adjustable-step-down-module-5a-75w.html</x:v>
      </x:c>
      <x:c r="D6" s="13" t="str">
        <x:v>2.40 AUD incl GST. 4-38 V input; adjustable 1.25-36 V output. Prototype candidate, not qualified for servo transients.</x:v>
      </x:c>
    </x:row>
    <x:row r="7" ht="61" customHeight="1">
      <x:c r="A7" s="13" t="str">
        <x:v>S3</x:v>
      </x:c>
      <x:c r="B7" s="13" t="str">
        <x:v>Core Electronics: terminal block, SKU CE08311</x:v>
      </x:c>
      <x:c r="C7" s="13" t="str">
        <x:v>https://core-electronics.com.au/2-pin-screw-terminal-block-5mm-pitch.html</x:v>
      </x:c>
      <x:c r="D7" s="13" t="str">
        <x:v>0.32 AUD incl GST each. Four included as budget components, PCB mounting required.</x:v>
      </x:c>
    </x:row>
    <x:row r="8" ht="61" customHeight="1">
      <x:c r="A8" s="13" t="str">
        <x:v>S4</x:v>
      </x:c>
      <x:c r="B8" s="13" t="str">
        <x:v>Jaycar: inline fuse holder, CAT SZ2045</x:v>
      </x:c>
      <x:c r="C8" s="13" t="str">
        <x:v>https://www.jaycar.com.au/30a-32vdc-stackable-inline-standard-blade-fuse-holder/p/SZ2045</x:v>
      </x:c>
      <x:c r="D8" s="13" t="str">
        <x:v>4.95 AUD advertised each. Holder maximum 32 VDC/30 A is not the fuse selection. GST to confirm on school quote.</x:v>
      </x:c>
    </x:row>
    <x:row r="9" ht="61" customHeight="1">
      <x:c r="A9" s="13" t="str">
        <x:v>S5</x:v>
      </x:c>
      <x:c r="B9" s="13" t="str">
        <x:v>BLUETTI Australia: Elite 100 V2</x:v>
      </x:c>
      <x:c r="C9" s="13" t="str">
        <x:v>https://www.bluettipower.com.au/products/elite-100-v2-portable-power-station</x:v>
      </x:c>
      <x:c r="D9" s="13" t="str">
        <x:v>999.00 AUD displayed for standalone unit; retail gross amount carried into estimate, GST invoice to confirm. LFP, 1024 Wh, rated 1800 W AC. No membership/coupon used.</x:v>
      </x:c>
    </x:row>
    <x:row r="10" ht="61" customHeight="1">
      <x:c r="A10" s="13" t="str">
        <x:v>S6</x:v>
      </x:c>
      <x:c r="B10" s="13" t="str">
        <x:v>EcoFlow Australia: DELTA 3 Classic</x:v>
      </x:c>
      <x:c r="C10" s="13" t="str">
        <x:v>https://au.ecoflow.com/products/ecoflow-delta-3-classic-portable-power-station</x:v>
      </x:c>
      <x:c r="D10" s="13" t="str">
        <x:v>1099.00 AUD incl tax on canonical page opened 19 Oct. LFP, 1024 Wh, 230 V/1800 W; pre-order/sold-out text. Older promotion/index prices conflict and are not used.</x:v>
      </x:c>
    </x:row>
    <x:row r="11" ht="61" customHeight="1">
      <x:c r="A11" s="13" t="str">
        <x:v>S7</x:v>
      </x:c>
      <x:c r="B11" s="13" t="str">
        <x:v>Core Electronics: Pi 5 8GB starter kit, CE09799</x:v>
      </x:c>
      <x:c r="C11" s="13" t="str">
        <x:v>https://core-electronics.com.au/raspberry-pi-5-8gb-starter-bundle.html</x:v>
      </x:c>
      <x:c r="D11" s="13" t="str">
        <x:v>389.43 AUD incl GST. Includes Pi, case, PSU, microSD, HDMI leads, heatsinks. Benchmarked robot performance and vehicle mounting not established.</x:v>
      </x:c>
    </x:row>
    <x:row r="12" ht="61" customHeight="1">
      <x:c r="A12" s="13" t="str">
        <x:v>S8</x:v>
      </x:c>
      <x:c r="B12" s="13" t="str">
        <x:v>GEEKOM Australia: A5 model range</x:v>
      </x:c>
      <x:c r="C12" s="13" t="str">
        <x:v>https://www.geekom.au/geekom-a5-mini-pc/</x:v>
      </x:c>
      <x:c r="D12" s="13" t="str">
        <x:v>709-909 AUD displayed range. 709 is a lower-end price reference, not a configuration-specific quote. Coupon price 569 not included in main budget.</x:v>
      </x:c>
    </x:row>
    <x:row r="13" ht="61" customHeight="1">
      <x:c r="A13" s="13" t="str">
        <x:v>S9</x:v>
      </x:c>
      <x:c r="B13" s="13" t="str">
        <x:v>UFACTORY 850 tool electrical interfaces</x:v>
      </x:c>
      <x:c r="C13" s="13" t="str">
        <x:v>https://docs.850.ufactory.cc/4.robotic_electrical_interface.html</x:v>
      </x:c>
      <x:c r="D13" s="13" t="str">
        <x:v>Tool supply nominal24 V, range20-30 V, maximum1.8 A. Match connector to delivered revision.</x:v>
      </x:c>
    </x:row>
    <x:row r="14" ht="61" customHeight="1">
      <x:c r="A14" s="13" t="str">
        <x:v>S10</x:v>
      </x:c>
      <x:c r="B14" s="13" t="str">
        <x:v>UFACTORY 850 control-box electrical interfaces</x:v>
      </x:c>
      <x:c r="C14" s="13" t="str">
        <x:v>https://docs.850.ufactory.cc/3.controller_electrical_interface.html</x:v>
      </x:c>
      <x:c r="D14" s="13" t="str">
        <x:v>AC controller input100-240 VAC; existing unit is AC-powered per user19 Oct. Nameplate/earthing/inrush still to inspect.</x:v>
      </x:c>
    </x:row>
    <x:row r="15" ht="61" customHeight="1">
      <x:c r="A15" s="13" t="str">
        <x:v>S11</x:v>
      </x:c>
      <x:c r="B15" s="13" t="str">
        <x:v>UFACTORY 850 technical specifications</x:v>
      </x:c>
      <x:c r="C15" s="13" t="str">
        <x:v>https://docs.850.ufactory.cc/8.technical_specifications.html</x:v>
      </x:c>
      <x:c r="D15" s="13" t="str">
        <x:v>Manufacturer states typical240 W, maximum1000 W and recommends500 W supply. These are not measured at the installed AC input.</x:v>
      </x:c>
    </x:row>
    <x:row r="16" ht="61" customHeight="1">
      <x:c r="A16" s="13" t="str">
        <x:v>S12</x:v>
      </x:c>
      <x:c r="B16" s="13" t="str">
        <x:v>CFA: Battery and charging safety</x:v>
      </x:c>
      <x:c r="C16" s="13" t="str">
        <x:v>https://www.cfa.vic.gov.au/fire-safety/home-fire-safety/preventing-house-fires/battery-and-charging-safety</x:v>
      </x:c>
      <x:c r="D16" s="13" t="str">
        <x:v>Use matching supplied charging equipment, monitor charging, keep clear of combustibles and exits, stop use for damage/heat/swelling. Smoke/fire: evacuate and call000.</x:v>
      </x:c>
    </x:row>
    <x:row r="17" ht="61" customHeight="1">
      <x:c r="A17" s="13" t="str">
        <x:v>S13</x:v>
      </x:c>
      <x:c r="B17" s="13" t="str">
        <x:v>CFA: Renewable Energy Facilities Guidelines v4.4</x:v>
      </x:c>
      <x:c r="C17" s="13" t="str">
        <x:v>https://www.cfa.vic.gov.au/ArticleDocuments/1933/250611%20-%20CFA%20DGMR%20Renewable%20Energy%20Facilities%20v4.4.pdf</x:v>
      </x:c>
      <x:c r="D17" s="13" t="str">
        <x:v>Only general chemistry point used: all lithium-ion chemistries including LFP can undergo thermal runaway. Facility-scale installation requirements are not applied to this portable prototype.</x:v>
      </x:c>
    </x:row>
    <x:row r="18" ht="61" customHeight="1">
      <x:c r="A18" s="13" t="str">
        <x:v>S14</x:v>
      </x:c>
      <x:c r="B18" s="13" t="str">
        <x:v>BLUETTI AU support: Elite 100 V2 manual</x:v>
      </x:c>
      <x:c r="C18" s="13" t="str">
        <x:v>https://s4.bluettipower.com/bluetti_lgf/support/2026/05/81a69e72-f8b6-41e9-a057-24a767ff28a5.pdf</x:v>
      </x:c>
      <x:c r="D18" s="13" t="str">
        <x:v>PDF p5 restricts movement during operation to avoid poor connections: confirm fixed onboard use with manufacturer before purchase. PDF p21: 230 V, 50/60 Hz, 1800 W AC. No paired robot test yet.</x:v>
      </x:c>
    </x:row>
  </x:sheetData>
  <x:pageMargins left="0.7" right="0.7" top="0.75" bottom="0.75" header="0.3" footer="0.3"/>
</x:worksheet>
</file>