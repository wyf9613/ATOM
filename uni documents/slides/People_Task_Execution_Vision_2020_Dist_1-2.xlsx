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obwarfield/Dropbox/Documents/Melbourne_Uni/Capstone_ENGR90037/02_Projects/R_04_PTEV_Spreadsheet/"/>
    </mc:Choice>
  </mc:AlternateContent>
  <xr:revisionPtr revIDLastSave="0" documentId="8_{C5F234B0-9ADE-4E41-AFFB-CC8776F2FE6F}" xr6:coauthVersionLast="45" xr6:coauthVersionMax="45" xr10:uidLastSave="{00000000-0000-0000-0000-000000000000}"/>
  <bookViews>
    <workbookView xWindow="1620" yWindow="460" windowWidth="48900" windowHeight="26540" tabRatio="500" xr2:uid="{00000000-000D-0000-FFFF-FFFF00000000}"/>
  </bookViews>
  <sheets>
    <sheet name="Self_Assessment" sheetId="1" r:id="rId1"/>
    <sheet name="Team Analysis" sheetId="4" r:id="rId2"/>
    <sheet name="Fun and Games" sheetId="6" r:id="rId3"/>
    <sheet name="Numbers" sheetId="2" state="hidden" r:id="rId4"/>
  </sheets>
  <definedNames>
    <definedName name="_xlchart.v1.0" hidden="1">'Team Analysis'!$V$45:$V$54</definedName>
    <definedName name="_xlchart.v1.1" hidden="1">'Team Analysis'!$W$45:$W$54</definedName>
    <definedName name="_xlchart.v1.2" hidden="1">'Team Analysis'!$V$45:$V$54</definedName>
    <definedName name="_xlchart.v1.3" hidden="1">'Team Analysis'!$W$45:$W$54</definedName>
    <definedName name="_xlnm.Print_Area" localSheetId="0">Self_Assessment!$B$1:$F$92</definedName>
    <definedName name="solver_adj" localSheetId="0" hidden="1">Self_Assessment!#REF!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Self_Assessment!#REF!</definedName>
    <definedName name="solver_lhs2" localSheetId="0" hidden="1">Self_Assessment!#REF!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Self_Assessment!#REF!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46" i="4" l="1" a="1"/>
  <c r="V46" i="4" s="1"/>
  <c r="W46" i="4" a="1"/>
  <c r="W46" i="4" s="1"/>
  <c r="V47" i="4" a="1"/>
  <c r="V47" i="4" s="1"/>
  <c r="W47" i="4" a="1"/>
  <c r="W47" i="4"/>
  <c r="V48" i="4" a="1"/>
  <c r="V48" i="4" s="1"/>
  <c r="W48" i="4" a="1"/>
  <c r="W48" i="4" s="1"/>
  <c r="V49" i="4" a="1"/>
  <c r="V49" i="4"/>
  <c r="W49" i="4" a="1"/>
  <c r="W49" i="4"/>
  <c r="V50" i="4" a="1"/>
  <c r="V50" i="4" s="1"/>
  <c r="W50" i="4" a="1"/>
  <c r="W50" i="4" s="1"/>
  <c r="V51" i="4" a="1"/>
  <c r="V51" i="4" s="1"/>
  <c r="W51" i="4" a="1"/>
  <c r="W51" i="4"/>
  <c r="V52" i="4" a="1"/>
  <c r="V52" i="4" s="1"/>
  <c r="W52" i="4" a="1"/>
  <c r="W52" i="4" s="1"/>
  <c r="V53" i="4" a="1"/>
  <c r="V53" i="4"/>
  <c r="W53" i="4" a="1"/>
  <c r="W53" i="4"/>
  <c r="V54" i="4" a="1"/>
  <c r="V54" i="4" s="1"/>
  <c r="W54" i="4" a="1"/>
  <c r="W54" i="4" s="1"/>
  <c r="Z31" i="4" a="1"/>
  <c r="Z31" i="4" s="1"/>
  <c r="AA31" i="4" a="1"/>
  <c r="AA31" i="4" s="1"/>
  <c r="Z32" i="4" a="1"/>
  <c r="Z32" i="4"/>
  <c r="AA32" i="4" a="1"/>
  <c r="AA32" i="4"/>
  <c r="Z33" i="4" a="1"/>
  <c r="Z33" i="4" s="1"/>
  <c r="AA33" i="4" a="1"/>
  <c r="AA33" i="4" s="1"/>
  <c r="Z34" i="4" a="1"/>
  <c r="Z34" i="4" s="1"/>
  <c r="AA34" i="4" a="1"/>
  <c r="AA34" i="4"/>
  <c r="Z35" i="4" a="1"/>
  <c r="Z35" i="4" s="1"/>
  <c r="AA35" i="4" a="1"/>
  <c r="AA35" i="4" s="1"/>
  <c r="Z36" i="4" a="1"/>
  <c r="Z36" i="4"/>
  <c r="AA36" i="4" a="1"/>
  <c r="AA36" i="4"/>
  <c r="Z37" i="4" a="1"/>
  <c r="Z37" i="4" s="1"/>
  <c r="AA37" i="4" a="1"/>
  <c r="AA37" i="4" s="1"/>
  <c r="Z38" i="4" a="1"/>
  <c r="Z38" i="4"/>
  <c r="AA38" i="4" a="1"/>
  <c r="AA38" i="4"/>
  <c r="Z39" i="4" a="1"/>
  <c r="Z39" i="4" s="1"/>
  <c r="AA39" i="4" a="1"/>
  <c r="AA39" i="4" s="1"/>
  <c r="V31" i="4" a="1"/>
  <c r="V31" i="4" s="1"/>
  <c r="V32" i="4" a="1"/>
  <c r="V32" i="4"/>
  <c r="V33" i="4" a="1"/>
  <c r="V33" i="4"/>
  <c r="V34" i="4" a="1"/>
  <c r="V34" i="4"/>
  <c r="V35" i="4" a="1"/>
  <c r="V35" i="4" s="1"/>
  <c r="V36" i="4" a="1"/>
  <c r="V36" i="4"/>
  <c r="V37" i="4" a="1"/>
  <c r="V37" i="4"/>
  <c r="V38" i="4" a="1"/>
  <c r="V38" i="4"/>
  <c r="V39" i="4" a="1"/>
  <c r="V39" i="4" s="1"/>
  <c r="P87" i="1"/>
  <c r="P86" i="1"/>
  <c r="L36" i="4"/>
  <c r="L37" i="4"/>
  <c r="M37" i="4"/>
  <c r="M36" i="4"/>
  <c r="N36" i="4"/>
  <c r="N37" i="4"/>
  <c r="O37" i="4"/>
  <c r="O36" i="4"/>
  <c r="M13" i="4"/>
  <c r="M25" i="4" s="1"/>
  <c r="N13" i="4"/>
  <c r="N25" i="4" s="1"/>
  <c r="N14" i="4"/>
  <c r="O14" i="4"/>
  <c r="O26" i="4" s="1"/>
  <c r="L20" i="4"/>
  <c r="L32" i="4" s="1"/>
  <c r="M20" i="4"/>
  <c r="N20" i="4"/>
  <c r="K13" i="4"/>
  <c r="O13" i="4" s="1"/>
  <c r="O25" i="4" s="1"/>
  <c r="K14" i="4"/>
  <c r="K15" i="4"/>
  <c r="M15" i="4" s="1"/>
  <c r="M27" i="4" s="1"/>
  <c r="K16" i="4"/>
  <c r="K17" i="4"/>
  <c r="O17" i="4" s="1"/>
  <c r="O29" i="4" s="1"/>
  <c r="K18" i="4"/>
  <c r="K19" i="4"/>
  <c r="K20" i="4"/>
  <c r="M32" i="4" s="1"/>
  <c r="K21" i="4"/>
  <c r="K12" i="4"/>
  <c r="L12" i="4" s="1"/>
  <c r="L24" i="4" s="1"/>
  <c r="M17" i="4" l="1"/>
  <c r="N12" i="4"/>
  <c r="N24" i="4" s="1"/>
  <c r="N17" i="4"/>
  <c r="N29" i="4" s="1"/>
  <c r="L13" i="4"/>
  <c r="L25" i="4" s="1"/>
  <c r="N32" i="4"/>
  <c r="O12" i="4"/>
  <c r="O24" i="4" s="1"/>
  <c r="N15" i="4"/>
  <c r="N27" i="4" s="1"/>
  <c r="M12" i="4"/>
  <c r="M24" i="4" s="1"/>
  <c r="L15" i="4"/>
  <c r="L27" i="4" s="1"/>
  <c r="N21" i="4"/>
  <c r="N33" i="4" s="1"/>
  <c r="O21" i="4"/>
  <c r="O33" i="4" s="1"/>
  <c r="T21" i="4" s="1"/>
  <c r="L17" i="4"/>
  <c r="L29" i="4" s="1"/>
  <c r="M29" i="4"/>
  <c r="O19" i="4"/>
  <c r="O31" i="4" s="1"/>
  <c r="O16" i="4"/>
  <c r="O28" i="4" s="1"/>
  <c r="K10" i="4"/>
  <c r="N19" i="4"/>
  <c r="N31" i="4" s="1"/>
  <c r="M21" i="4"/>
  <c r="M33" i="4" s="1"/>
  <c r="R21" i="4" s="1"/>
  <c r="M19" i="4"/>
  <c r="M31" i="4" s="1"/>
  <c r="M16" i="4"/>
  <c r="M28" i="4" s="1"/>
  <c r="M14" i="4"/>
  <c r="M26" i="4" s="1"/>
  <c r="N16" i="4"/>
  <c r="N28" i="4" s="1"/>
  <c r="L21" i="4"/>
  <c r="L33" i="4" s="1"/>
  <c r="Q21" i="4" s="1"/>
  <c r="L19" i="4"/>
  <c r="L31" i="4" s="1"/>
  <c r="L16" i="4"/>
  <c r="L28" i="4" s="1"/>
  <c r="L14" i="4"/>
  <c r="L26" i="4" s="1"/>
  <c r="N26" i="4"/>
  <c r="O20" i="4"/>
  <c r="O32" i="4" s="1"/>
  <c r="O15" i="4"/>
  <c r="O27" i="4" s="1"/>
  <c r="O18" i="4"/>
  <c r="O30" i="4" s="1"/>
  <c r="N18" i="4"/>
  <c r="N30" i="4" s="1"/>
  <c r="M18" i="4"/>
  <c r="M30" i="4" s="1"/>
  <c r="L18" i="4"/>
  <c r="L30" i="4" s="1"/>
  <c r="B94" i="1"/>
  <c r="V29" i="4"/>
  <c r="V44" i="4"/>
  <c r="Z44" i="4"/>
  <c r="Z29" i="4"/>
  <c r="AD112" i="1"/>
  <c r="AC112" i="1"/>
  <c r="AD111" i="1"/>
  <c r="AC111" i="1"/>
  <c r="AD110" i="1"/>
  <c r="AC110" i="1"/>
  <c r="AD109" i="1"/>
  <c r="AC109" i="1"/>
  <c r="AD108" i="1"/>
  <c r="AC108" i="1"/>
  <c r="AD107" i="1"/>
  <c r="AC107" i="1"/>
  <c r="AD106" i="1"/>
  <c r="AC106" i="1"/>
  <c r="AD105" i="1"/>
  <c r="AC105" i="1"/>
  <c r="AD104" i="1"/>
  <c r="AC104" i="1"/>
  <c r="AD103" i="1"/>
  <c r="AC103" i="1"/>
  <c r="AD102" i="1"/>
  <c r="AC102" i="1"/>
  <c r="AD101" i="1"/>
  <c r="AC101" i="1"/>
  <c r="AD100" i="1"/>
  <c r="AC100" i="1"/>
  <c r="S21" i="4" l="1"/>
  <c r="S16" i="4"/>
  <c r="S14" i="4"/>
  <c r="S15" i="4"/>
  <c r="Q18" i="4"/>
  <c r="Q19" i="4"/>
  <c r="Q13" i="4"/>
  <c r="W18" i="4" s="1"/>
  <c r="Q20" i="4"/>
  <c r="Q15" i="4"/>
  <c r="Q16" i="4"/>
  <c r="Q17" i="4"/>
  <c r="Q12" i="4"/>
  <c r="Q14" i="4"/>
  <c r="R14" i="4"/>
  <c r="R20" i="4"/>
  <c r="R18" i="4"/>
  <c r="R12" i="4"/>
  <c r="R19" i="4"/>
  <c r="R16" i="4"/>
  <c r="R17" i="4"/>
  <c r="R13" i="4"/>
  <c r="R15" i="4"/>
  <c r="T17" i="4"/>
  <c r="T18" i="4"/>
  <c r="T14" i="4"/>
  <c r="T13" i="4"/>
  <c r="T16" i="4"/>
  <c r="T20" i="4"/>
  <c r="T12" i="4"/>
  <c r="Z13" i="4" s="1"/>
  <c r="T19" i="4"/>
  <c r="T15" i="4"/>
  <c r="S18" i="4"/>
  <c r="S13" i="4"/>
  <c r="S17" i="4"/>
  <c r="S12" i="4"/>
  <c r="S19" i="4"/>
  <c r="S20" i="4"/>
  <c r="L38" i="4"/>
  <c r="M38" i="4"/>
  <c r="O38" i="4"/>
  <c r="N38" i="4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F45" i="2"/>
  <c r="E45" i="2"/>
  <c r="F39" i="2"/>
  <c r="N40" i="1" s="1"/>
  <c r="E39" i="2"/>
  <c r="M40" i="1" s="1"/>
  <c r="F38" i="2"/>
  <c r="N39" i="1" s="1"/>
  <c r="E38" i="2"/>
  <c r="M39" i="1" s="1"/>
  <c r="F37" i="2"/>
  <c r="N38" i="1" s="1"/>
  <c r="E37" i="2"/>
  <c r="M38" i="1" s="1"/>
  <c r="F36" i="2"/>
  <c r="N37" i="1" s="1"/>
  <c r="E36" i="2"/>
  <c r="M37" i="1" s="1"/>
  <c r="F35" i="2"/>
  <c r="N36" i="1" s="1"/>
  <c r="E35" i="2"/>
  <c r="M36" i="1" s="1"/>
  <c r="F34" i="2"/>
  <c r="N35" i="1" s="1"/>
  <c r="E34" i="2"/>
  <c r="M35" i="1" s="1"/>
  <c r="F33" i="2"/>
  <c r="N34" i="1" s="1"/>
  <c r="E33" i="2"/>
  <c r="M34" i="1" s="1"/>
  <c r="F32" i="2"/>
  <c r="N33" i="1" s="1"/>
  <c r="E32" i="2"/>
  <c r="M33" i="1" s="1"/>
  <c r="F31" i="2"/>
  <c r="N32" i="1" s="1"/>
  <c r="E31" i="2"/>
  <c r="M32" i="1" s="1"/>
  <c r="F30" i="2"/>
  <c r="N31" i="1" s="1"/>
  <c r="E30" i="2"/>
  <c r="M31" i="1" s="1"/>
  <c r="F29" i="2"/>
  <c r="N30" i="1" s="1"/>
  <c r="E29" i="2"/>
  <c r="M30" i="1" s="1"/>
  <c r="F28" i="2"/>
  <c r="N29" i="1" s="1"/>
  <c r="E28" i="2"/>
  <c r="M29" i="1" s="1"/>
  <c r="F27" i="2"/>
  <c r="N28" i="1" s="1"/>
  <c r="E27" i="2"/>
  <c r="M28" i="1" s="1"/>
  <c r="F26" i="2"/>
  <c r="N27" i="1" s="1"/>
  <c r="E26" i="2"/>
  <c r="M27" i="1" s="1"/>
  <c r="F25" i="2"/>
  <c r="N26" i="1" s="1"/>
  <c r="E25" i="2"/>
  <c r="M26" i="1" s="1"/>
  <c r="F24" i="2"/>
  <c r="N25" i="1" s="1"/>
  <c r="E24" i="2"/>
  <c r="M25" i="1" s="1"/>
  <c r="F23" i="2"/>
  <c r="N24" i="1" s="1"/>
  <c r="E23" i="2"/>
  <c r="M24" i="1" s="1"/>
  <c r="F22" i="2"/>
  <c r="N23" i="1" s="1"/>
  <c r="E22" i="2"/>
  <c r="M23" i="1" s="1"/>
  <c r="F21" i="2"/>
  <c r="N22" i="1" s="1"/>
  <c r="E21" i="2"/>
  <c r="M22" i="1" s="1"/>
  <c r="F20" i="2"/>
  <c r="N21" i="1" s="1"/>
  <c r="E20" i="2"/>
  <c r="M21" i="1" s="1"/>
  <c r="F19" i="2"/>
  <c r="N20" i="1" s="1"/>
  <c r="E19" i="2"/>
  <c r="M20" i="1" s="1"/>
  <c r="F18" i="2"/>
  <c r="N19" i="1" s="1"/>
  <c r="E18" i="2"/>
  <c r="M19" i="1" s="1"/>
  <c r="F17" i="2"/>
  <c r="N18" i="1" s="1"/>
  <c r="E17" i="2"/>
  <c r="M18" i="1" s="1"/>
  <c r="F16" i="2"/>
  <c r="N17" i="1" s="1"/>
  <c r="E16" i="2"/>
  <c r="M17" i="1" s="1"/>
  <c r="F15" i="2"/>
  <c r="N16" i="1" s="1"/>
  <c r="E15" i="2"/>
  <c r="M16" i="1" s="1"/>
  <c r="F14" i="2"/>
  <c r="N15" i="1" s="1"/>
  <c r="E14" i="2"/>
  <c r="M15" i="1" s="1"/>
  <c r="F13" i="2"/>
  <c r="N14" i="1" s="1"/>
  <c r="E13" i="2"/>
  <c r="M14" i="1" s="1"/>
  <c r="F12" i="2"/>
  <c r="N13" i="1" s="1"/>
  <c r="E12" i="2"/>
  <c r="M13" i="1" s="1"/>
  <c r="F11" i="2"/>
  <c r="N12" i="1" s="1"/>
  <c r="E11" i="2"/>
  <c r="M12" i="1" s="1"/>
  <c r="F10" i="2"/>
  <c r="N11" i="1" s="1"/>
  <c r="E10" i="2"/>
  <c r="M11" i="1" s="1"/>
  <c r="F9" i="2"/>
  <c r="N10" i="1" s="1"/>
  <c r="E9" i="2"/>
  <c r="M10" i="1" s="1"/>
  <c r="F8" i="2"/>
  <c r="N9" i="1" s="1"/>
  <c r="E8" i="2"/>
  <c r="M9" i="1" s="1"/>
  <c r="F7" i="2"/>
  <c r="N8" i="1" s="1"/>
  <c r="E7" i="2"/>
  <c r="M8" i="1" s="1"/>
  <c r="F6" i="2"/>
  <c r="N7" i="1" s="1"/>
  <c r="E6" i="2"/>
  <c r="M7" i="1" s="1"/>
  <c r="W13" i="4" l="1"/>
  <c r="Z17" i="4"/>
  <c r="W19" i="4"/>
  <c r="Z21" i="4"/>
  <c r="W14" i="4"/>
  <c r="W15" i="4"/>
  <c r="W21" i="4"/>
  <c r="Y17" i="4"/>
  <c r="Y21" i="4"/>
  <c r="X14" i="4"/>
  <c r="W12" i="4"/>
  <c r="X17" i="4"/>
  <c r="X21" i="4"/>
  <c r="W17" i="4"/>
  <c r="Y20" i="4"/>
  <c r="Z16" i="4"/>
  <c r="Z49" i="4" s="1" a="1"/>
  <c r="Z49" i="4" s="1"/>
  <c r="W20" i="4"/>
  <c r="X20" i="4"/>
  <c r="Z14" i="4"/>
  <c r="X19" i="4"/>
  <c r="W37" i="4" s="1" a="1"/>
  <c r="W37" i="4" s="1"/>
  <c r="X16" i="4"/>
  <c r="X13" i="4"/>
  <c r="X12" i="4"/>
  <c r="W30" i="4" s="1" a="1"/>
  <c r="W30" i="4" s="1"/>
  <c r="Y15" i="4"/>
  <c r="Y13" i="4"/>
  <c r="X15" i="4"/>
  <c r="Y16" i="4"/>
  <c r="Z15" i="4"/>
  <c r="Z48" i="4" s="1" a="1"/>
  <c r="Z48" i="4" s="1"/>
  <c r="W16" i="4"/>
  <c r="X18" i="4"/>
  <c r="Y19" i="4"/>
  <c r="Z20" i="4"/>
  <c r="Z53" i="4" s="1" a="1"/>
  <c r="Z53" i="4" s="1"/>
  <c r="Z12" i="4"/>
  <c r="AA45" i="4" s="1" a="1"/>
  <c r="AA45" i="4" s="1"/>
  <c r="Y14" i="4"/>
  <c r="Y12" i="4"/>
  <c r="Z18" i="4"/>
  <c r="AA51" i="4" s="1" a="1"/>
  <c r="AA51" i="4" s="1"/>
  <c r="Y18" i="4"/>
  <c r="Z19" i="4"/>
  <c r="AA47" i="4" a="1"/>
  <c r="AA47" i="4" s="1"/>
  <c r="Z47" i="4" a="1"/>
  <c r="Z47" i="4" s="1"/>
  <c r="AA46" i="4" a="1"/>
  <c r="AA46" i="4" s="1"/>
  <c r="Z46" i="4" a="1"/>
  <c r="Z46" i="4" s="1"/>
  <c r="Z50" i="4" a="1"/>
  <c r="Z50" i="4" s="1"/>
  <c r="AA50" i="4" a="1"/>
  <c r="AA50" i="4" s="1"/>
  <c r="AA52" i="4" a="1"/>
  <c r="AA52" i="4" s="1"/>
  <c r="Z52" i="4" a="1"/>
  <c r="Z52" i="4" s="1"/>
  <c r="W45" i="4" a="1"/>
  <c r="W45" i="4" s="1"/>
  <c r="V45" i="4" a="1"/>
  <c r="V45" i="4" s="1"/>
  <c r="W35" i="4" a="1"/>
  <c r="W35" i="4" s="1"/>
  <c r="W32" i="4" a="1"/>
  <c r="W32" i="4" s="1"/>
  <c r="V30" i="4" a="1"/>
  <c r="V30" i="4" s="1"/>
  <c r="AA30" i="4" a="1"/>
  <c r="AA30" i="4" s="1"/>
  <c r="Z30" i="4" a="1"/>
  <c r="Z30" i="4" s="1"/>
  <c r="E36" i="1"/>
  <c r="W36" i="4" l="1" a="1"/>
  <c r="W36" i="4" s="1"/>
  <c r="AA48" i="4" a="1"/>
  <c r="AA48" i="4" s="1"/>
  <c r="W33" i="4" a="1"/>
  <c r="W33" i="4" s="1"/>
  <c r="AA49" i="4" a="1"/>
  <c r="AA49" i="4" s="1"/>
  <c r="W38" i="4" a="1"/>
  <c r="W38" i="4" s="1"/>
  <c r="W39" i="4" a="1"/>
  <c r="W39" i="4" s="1"/>
  <c r="AA54" i="4" a="1"/>
  <c r="AA54" i="4" s="1"/>
  <c r="Z54" i="4" a="1"/>
  <c r="Z54" i="4" s="1"/>
  <c r="W34" i="4" a="1"/>
  <c r="W34" i="4" s="1"/>
  <c r="Z51" i="4" a="1"/>
  <c r="Z51" i="4" s="1"/>
  <c r="AA53" i="4" a="1"/>
  <c r="AA53" i="4" s="1"/>
  <c r="W31" i="4" a="1"/>
  <c r="W31" i="4" s="1"/>
  <c r="Z45" i="4" a="1"/>
  <c r="Z45" i="4" s="1"/>
  <c r="E41" i="1"/>
  <c r="E42" i="1"/>
  <c r="E39" i="1"/>
  <c r="E38" i="1"/>
  <c r="E37" i="1"/>
  <c r="E40" i="1"/>
  <c r="D45" i="1" l="1"/>
  <c r="P75" i="1"/>
  <c r="P76" i="1"/>
  <c r="P77" i="1"/>
  <c r="P78" i="1"/>
  <c r="P79" i="1"/>
  <c r="P80" i="1"/>
  <c r="P81" i="1"/>
  <c r="P82" i="1"/>
  <c r="P74" i="1"/>
  <c r="F1" i="2" l="1"/>
  <c r="E1" i="2"/>
  <c r="E43" i="1"/>
  <c r="P57" i="1"/>
  <c r="P58" i="1"/>
  <c r="P59" i="1" l="1"/>
  <c r="P48" i="1" s="1"/>
  <c r="P51" i="1" l="1"/>
  <c r="P50" i="1"/>
  <c r="P55" i="1"/>
  <c r="P54" i="1"/>
  <c r="P53" i="1"/>
  <c r="P52" i="1"/>
  <c r="P49" i="1"/>
  <c r="E30" i="1" l="1"/>
  <c r="D30" i="1"/>
  <c r="P89" i="1" l="1"/>
  <c r="E3" i="2"/>
  <c r="R94" i="1"/>
  <c r="P94" i="1" s="1"/>
  <c r="F3" i="2"/>
  <c r="R92" i="1"/>
  <c r="P92" i="1" s="1"/>
  <c r="G55" i="2" l="1"/>
  <c r="G21" i="2"/>
  <c r="G30" i="2"/>
  <c r="G27" i="2"/>
  <c r="G37" i="2"/>
  <c r="G9" i="2"/>
  <c r="G10" i="2"/>
  <c r="G46" i="2"/>
  <c r="G48" i="2"/>
  <c r="G32" i="2"/>
  <c r="G22" i="2"/>
  <c r="G52" i="2"/>
  <c r="G14" i="2"/>
  <c r="G7" i="2"/>
  <c r="G49" i="2"/>
  <c r="G19" i="2"/>
  <c r="G35" i="2"/>
  <c r="Q92" i="1"/>
  <c r="C96" i="1" s="1"/>
  <c r="G23" i="2"/>
  <c r="G38" i="2"/>
  <c r="G17" i="2"/>
  <c r="G15" i="2"/>
  <c r="G57" i="2"/>
  <c r="G24" i="2"/>
  <c r="G33" i="2"/>
  <c r="G8" i="2"/>
  <c r="G25" i="2"/>
  <c r="G6" i="2"/>
  <c r="G51" i="2"/>
  <c r="G12" i="2"/>
  <c r="G18" i="2"/>
  <c r="G34" i="2"/>
  <c r="G31" i="2"/>
  <c r="G28" i="2"/>
  <c r="G54" i="2"/>
  <c r="G20" i="2"/>
  <c r="G16" i="2"/>
  <c r="G13" i="2"/>
  <c r="G50" i="2"/>
  <c r="G11" i="2"/>
  <c r="G47" i="2"/>
  <c r="Q94" i="1"/>
  <c r="C97" i="1" s="1"/>
  <c r="G45" i="2"/>
  <c r="G26" i="2"/>
  <c r="G56" i="2"/>
  <c r="G36" i="2"/>
  <c r="G29" i="2"/>
  <c r="G39" i="2"/>
  <c r="G53" i="2"/>
  <c r="H50" i="2" l="1"/>
  <c r="H26" i="2"/>
  <c r="H23" i="2"/>
  <c r="H11" i="2"/>
  <c r="H21" i="2"/>
  <c r="H36" i="2"/>
  <c r="H15" i="2"/>
  <c r="H32" i="2"/>
  <c r="H10" i="2"/>
  <c r="H33" i="2"/>
  <c r="H49" i="2"/>
  <c r="H9" i="2"/>
  <c r="H34" i="2"/>
  <c r="H37" i="2"/>
  <c r="H13" i="2"/>
  <c r="H17" i="2"/>
  <c r="H24" i="2"/>
  <c r="H12" i="2"/>
  <c r="H46" i="2"/>
  <c r="H54" i="2"/>
  <c r="H6" i="2"/>
  <c r="H56" i="2"/>
  <c r="H7" i="2"/>
  <c r="H35" i="2"/>
  <c r="H29" i="2"/>
  <c r="H52" i="2"/>
  <c r="H25" i="2"/>
  <c r="H16" i="2"/>
  <c r="H18" i="2"/>
  <c r="H28" i="2"/>
  <c r="H31" i="2"/>
  <c r="H14" i="2"/>
  <c r="H38" i="2"/>
  <c r="H53" i="2"/>
  <c r="H39" i="2"/>
  <c r="H8" i="2"/>
  <c r="H51" i="2"/>
  <c r="H30" i="2"/>
  <c r="H19" i="2"/>
  <c r="H20" i="2"/>
  <c r="H27" i="2"/>
  <c r="H55" i="2"/>
  <c r="H57" i="2"/>
  <c r="H45" i="2"/>
  <c r="H48" i="2"/>
  <c r="H47" i="2"/>
  <c r="H22" i="2"/>
  <c r="K49" i="2" l="1"/>
  <c r="L49" i="2" s="1"/>
  <c r="H104" i="1" s="1"/>
  <c r="K45" i="2"/>
  <c r="L45" i="2" s="1"/>
  <c r="H95" i="1" s="1"/>
  <c r="K8" i="2"/>
  <c r="L8" i="2" s="1"/>
  <c r="B101" i="1" s="1"/>
  <c r="K12" i="2"/>
  <c r="L12" i="2" s="1"/>
  <c r="B106" i="1" s="1"/>
  <c r="K46" i="2"/>
  <c r="L46" i="2" s="1"/>
  <c r="H96" i="1" s="1"/>
  <c r="K47" i="2"/>
  <c r="L47" i="2" s="1"/>
  <c r="H97" i="1" s="1"/>
  <c r="K10" i="2"/>
  <c r="L10" i="2" s="1"/>
  <c r="B104" i="1" s="1"/>
  <c r="K50" i="2"/>
  <c r="L50" i="2" s="1"/>
  <c r="H105" i="1" s="1"/>
  <c r="K51" i="2"/>
  <c r="L51" i="2" s="1"/>
  <c r="H106" i="1" s="1"/>
  <c r="K7" i="2"/>
  <c r="L7" i="2" s="1"/>
  <c r="B100" i="1" s="1"/>
  <c r="K6" i="2"/>
  <c r="L6" i="2" s="1"/>
  <c r="M6" i="2" s="1"/>
  <c r="C99" i="1" s="1"/>
  <c r="K11" i="2"/>
  <c r="L11" i="2" s="1"/>
  <c r="B105" i="1" s="1"/>
  <c r="M8" i="2" l="1"/>
  <c r="C101" i="1" s="1"/>
  <c r="M12" i="2"/>
  <c r="C106" i="1" s="1"/>
  <c r="M10" i="2"/>
  <c r="C104" i="1" s="1"/>
  <c r="M7" i="2"/>
  <c r="C100" i="1" s="1"/>
  <c r="B99" i="1"/>
  <c r="M11" i="2"/>
  <c r="C10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<sst xmlns="http://schemas.openxmlformats.org/spreadsheetml/2006/main" count="402" uniqueCount="258">
  <si>
    <t>Make everyone in the team feel welcome</t>
  </si>
  <si>
    <t>Help each team member express their personal goals</t>
  </si>
  <si>
    <t>Forecast future technology trends for your industry</t>
  </si>
  <si>
    <t>Plan training to suit the individual needs of all team members</t>
  </si>
  <si>
    <t>Ensure everyone understands their highest priority task</t>
  </si>
  <si>
    <t>A.</t>
  </si>
  <si>
    <t>B.</t>
  </si>
  <si>
    <t>C.</t>
  </si>
  <si>
    <t>D.</t>
  </si>
  <si>
    <t>E.</t>
  </si>
  <si>
    <t>F.</t>
  </si>
  <si>
    <t>H.</t>
  </si>
  <si>
    <t xml:space="preserve">According to your preferences, on the People-Task Axis you are </t>
  </si>
  <si>
    <t xml:space="preserve">extremely </t>
  </si>
  <si>
    <t xml:space="preserve">largely </t>
  </si>
  <si>
    <t xml:space="preserve">somewhat </t>
  </si>
  <si>
    <t xml:space="preserve"> </t>
  </si>
  <si>
    <t>Enter your Name:</t>
  </si>
  <si>
    <t>1.</t>
  </si>
  <si>
    <t>2.</t>
  </si>
  <si>
    <t>Strength</t>
  </si>
  <si>
    <t>task</t>
  </si>
  <si>
    <t>vision</t>
  </si>
  <si>
    <t>Woo</t>
  </si>
  <si>
    <t>Achiever</t>
  </si>
  <si>
    <t>Command</t>
  </si>
  <si>
    <t>Includer</t>
  </si>
  <si>
    <t>Responsibility</t>
  </si>
  <si>
    <t>Harmony</t>
  </si>
  <si>
    <t>Activator</t>
  </si>
  <si>
    <t>Individualization</t>
  </si>
  <si>
    <t>Context</t>
  </si>
  <si>
    <t>Arranger</t>
  </si>
  <si>
    <t>Discipline</t>
  </si>
  <si>
    <t>Communication</t>
  </si>
  <si>
    <t>Learner</t>
  </si>
  <si>
    <t>Relator</t>
  </si>
  <si>
    <t>Focus</t>
  </si>
  <si>
    <t>Consistency</t>
  </si>
  <si>
    <t>Empathy</t>
  </si>
  <si>
    <t>Restorative</t>
  </si>
  <si>
    <t>Deliberative</t>
  </si>
  <si>
    <t>Maximizer</t>
  </si>
  <si>
    <t>Input</t>
  </si>
  <si>
    <t>Developer</t>
  </si>
  <si>
    <t>Positivity</t>
  </si>
  <si>
    <t>Significance</t>
  </si>
  <si>
    <t>Analytical</t>
  </si>
  <si>
    <t>Competition</t>
  </si>
  <si>
    <t>Ideation</t>
  </si>
  <si>
    <t>Connectedness</t>
  </si>
  <si>
    <t>Futuristic</t>
  </si>
  <si>
    <t>Strategic</t>
  </si>
  <si>
    <t>Self-Assurance</t>
  </si>
  <si>
    <t>Belief</t>
  </si>
  <si>
    <t>Intellection</t>
  </si>
  <si>
    <t>Architect</t>
  </si>
  <si>
    <t>Philosopher</t>
  </si>
  <si>
    <t>Philanthropist</t>
  </si>
  <si>
    <t>Politician</t>
  </si>
  <si>
    <t>Actor</t>
  </si>
  <si>
    <t>Salesman</t>
  </si>
  <si>
    <t>Builder</t>
  </si>
  <si>
    <t>Farmer</t>
  </si>
  <si>
    <t>Generalist</t>
  </si>
  <si>
    <t>Scientist</t>
  </si>
  <si>
    <t>Lawyer</t>
  </si>
  <si>
    <t>Teacher</t>
  </si>
  <si>
    <t>Cook</t>
  </si>
  <si>
    <t>Adaptability</t>
  </si>
  <si>
    <t>Xi</t>
  </si>
  <si>
    <t>eta</t>
  </si>
  <si>
    <t>dˆ2</t>
  </si>
  <si>
    <t>rank</t>
  </si>
  <si>
    <t>best_worst</t>
  </si>
  <si>
    <t>match</t>
  </si>
  <si>
    <t>Theme</t>
  </si>
  <si>
    <t>Occupation</t>
  </si>
  <si>
    <t>have a great deal of stamina and work hard. They take great satisfaction from being busy and productive.</t>
  </si>
  <si>
    <t>can make things happen by turning thoughts into action. They are often impatient.</t>
  </si>
  <si>
    <t>prefer to “go with the flow.” They tend to be “now” people who take things as they come and discover the future one day at a time.</t>
  </si>
  <si>
    <t>search for reasons and causes. They have the ability to think about all the factors that might affect a situation.</t>
  </si>
  <si>
    <t>can organize, but they also have a flexibility that complements this ability. They like to figure out how all of the pieces and resources can be arranged for maximum productivity.</t>
  </si>
  <si>
    <t>have certain core values that are unchanging. Out of these values emerges a defined purpose for their life.</t>
  </si>
  <si>
    <t>have presence. They can take control of a situation and make decisions.</t>
  </si>
  <si>
    <t>generally find it easy to put their thoughts into words. They are good conversationalists and presenters.</t>
  </si>
  <si>
    <t>measure their progress against the performance of others. They strive to win first place and revel in contests.</t>
  </si>
  <si>
    <t>have faith in the links between all things. They believe there are few coincidences and that almost every event has a reason.</t>
  </si>
  <si>
    <t>are keenly aware of the need to treat people the same. They try to treat everyone in the world with consistency by setting up clear rules and adhering to them.</t>
  </si>
  <si>
    <t>enjoy thinking about the past. They understand the present by researching its history.</t>
  </si>
  <si>
    <t>are best described by the serious care they take in making decisions or choices. They anticipate the obstacles.</t>
  </si>
  <si>
    <t>recognize and cultivate the potential in others. They spot the signs of each small improvement and derive satisfaction from these improvements.</t>
  </si>
  <si>
    <t>enjoy routine and structure. Their world is best de- scribed by the order they create.</t>
  </si>
  <si>
    <t>can sense the feelings of other people by imagining themselves in others’ lives or others’ situations.</t>
  </si>
  <si>
    <t>can take a direction, follow through, and make the corrections necessary to stay on track. They prioritize, then act.</t>
  </si>
  <si>
    <t>are inspired by the future and what could be. They inspire others with their visions of the future.</t>
  </si>
  <si>
    <t>look for consensus. They don’t enjoy conflict; rather, they seek areas of agreement.</t>
  </si>
  <si>
    <t>are fascinated by ideas. They are able to find connections between seemingly disparate phenomena.</t>
  </si>
  <si>
    <t>are accepting of others. They show awareness of those who feel left out, and make an effort to include them.</t>
  </si>
  <si>
    <t>are intrigued with the unique qualities of each person. They have a gift for figuring out how people who are different can work together productively.</t>
  </si>
  <si>
    <t>have a craving to know more. Often they like to collect and archive all kinds of information.</t>
  </si>
  <si>
    <t>are characterized by their intellectual activity. They are introspective and appreciate intellectual discussions.</t>
  </si>
  <si>
    <t>have a great desire to learn and want to continuously improve. In particular, the process of learning, rather than the outcome, excites them.</t>
  </si>
  <si>
    <t>focus on strengths as a way to stimulate personal and group excellence. They seek to transform something strong into something superb.</t>
  </si>
  <si>
    <t>have an enthusiasm that is contagious. They are upbeat and can get others excited about what they are going to do.</t>
  </si>
  <si>
    <t>enjoy close relationships with others. They find deep sat- isfaction in working hard with friends to achieve a goal.</t>
  </si>
  <si>
    <t>take psychological ownership of what they say they will do. They are committed to stable values such as honesty and loyalty.</t>
  </si>
  <si>
    <t>are adept at dealing with problems. They are good at figuring out what is wrong and resolving it.</t>
  </si>
  <si>
    <t>feel confident in their ability to manage their own lives. They possess an inner compass that gives them confidence that their decisions are right.</t>
  </si>
  <si>
    <t>want to be very important in the eyes of others. They are independent and want to be recognized.</t>
  </si>
  <si>
    <t>create alternative ways to proceed. Faced with any given scenario, they can quickly spot the relevant patterns and issues.</t>
  </si>
  <si>
    <t>love the challenge of meeting new people and winning them over. They derive satisfaction from breaking the ice and making a connection with another.</t>
  </si>
  <si>
    <t>Hypothetical Assignment</t>
  </si>
  <si>
    <t>G.</t>
  </si>
  <si>
    <t xml:space="preserve">People who are especially talented in the </t>
  </si>
  <si>
    <t>Plan for expansion of your business into global markets</t>
  </si>
  <si>
    <t xml:space="preserve">very </t>
  </si>
  <si>
    <t>people-oriented,</t>
  </si>
  <si>
    <t>execution-oriented.</t>
  </si>
  <si>
    <t>task-oriented,</t>
  </si>
  <si>
    <t>vision-oriented.</t>
  </si>
  <si>
    <t>balanced,</t>
  </si>
  <si>
    <t xml:space="preserve"> and on the Execution-Vision Axis you are </t>
  </si>
  <si>
    <t>Figure out why current operations are so slow, and fix the problem</t>
  </si>
  <si>
    <t>© Bob Warfield 2015-2020</t>
  </si>
  <si>
    <t>Feel free to modify your own results according to your insight and experience.</t>
  </si>
  <si>
    <t xml:space="preserve">3. </t>
  </si>
  <si>
    <t>What is the first thing you do when you come in to work?</t>
  </si>
  <si>
    <t>Would you prefer to be fixing today's problems, or planning next year's work?</t>
  </si>
  <si>
    <t>From Strengthsfinder 2</t>
  </si>
  <si>
    <t>Rating</t>
  </si>
  <si>
    <t>On a scale of 1 to 10 (where 1 means "one of my least preferred assignments", and 10 means</t>
  </si>
  <si>
    <t>"one of my most preferred assignments") rate each of the following hypothetical assignments:</t>
  </si>
  <si>
    <t>Read your analysis below then record your scores and proceed to the Team Analysis sheet with your team members.</t>
  </si>
  <si>
    <t>https://www.amazon.com.au/StrengthsFinder-2-0-Tom-Rath/dp/159562015X/</t>
  </si>
  <si>
    <t>Russell Crowe</t>
  </si>
  <si>
    <t>Alaiya Anderson</t>
  </si>
  <si>
    <t>Oakleigh Davis</t>
  </si>
  <si>
    <t>Ainhoa Garcia</t>
  </si>
  <si>
    <t>Salem Harris</t>
  </si>
  <si>
    <t>Lyanna Jackson</t>
  </si>
  <si>
    <t>Kaisley Martin</t>
  </si>
  <si>
    <t>Liam Moore</t>
  </si>
  <si>
    <t>Noah Taylor</t>
  </si>
  <si>
    <t>William Thomas</t>
  </si>
  <si>
    <t>(Execution:  -100%)</t>
  </si>
  <si>
    <t>(Vision:       +100%)</t>
  </si>
  <si>
    <t>(People:    -100%)</t>
  </si>
  <si>
    <t>(Task:       +100%)</t>
  </si>
  <si>
    <t>Task+Vision</t>
  </si>
  <si>
    <t>People+Vision</t>
  </si>
  <si>
    <t>People+Execution</t>
  </si>
  <si>
    <t>Task+Execution</t>
  </si>
  <si>
    <t>People or Task</t>
  </si>
  <si>
    <t>Execution or Vision</t>
  </si>
  <si>
    <t>Reorganise and streamline the quality review process (whatever that might be)</t>
  </si>
  <si>
    <t>The red dot shows your position on the People-Task and Execution-Vision Axes.</t>
  </si>
  <si>
    <t xml:space="preserve">In this context "strength" refers to your natural inclination for a type of activity.  When you are working on a task </t>
  </si>
  <si>
    <t>that uses your natural strength, you</t>
  </si>
  <si>
    <t>Wouldn't it be great if your job was always like that!</t>
  </si>
  <si>
    <t>The test below is provided for entertainment and food for thought - it is not intended as a scientific test!</t>
  </si>
  <si>
    <t xml:space="preserve">   Three Occupations CLOSEST to your self assessment are:</t>
  </si>
  <si>
    <t xml:space="preserve">   Three Occupations FURTHEST from your self assessment are:</t>
  </si>
  <si>
    <t xml:space="preserve">   The Themes from Strengthsfinder 2 CLOSEST to your self assessment are:</t>
  </si>
  <si>
    <t xml:space="preserve">   The Themes from Strengthsfinder 2 FURTHEST from your self assessment are:</t>
  </si>
  <si>
    <t xml:space="preserve"> - enjoy your work</t>
  </si>
  <si>
    <t xml:space="preserve"> - find it easy to learn and improve</t>
  </si>
  <si>
    <t xml:space="preserve"> - lose track of time - you have to be called to dinner to leave your work</t>
  </si>
  <si>
    <t xml:space="preserve"> - If you prefer today's problems you may be execution-oriented</t>
  </si>
  <si>
    <t xml:space="preserve"> - Planning next year's work is more a vision-oriented task</t>
  </si>
  <si>
    <t xml:space="preserve"> - If you said "check my to-do list" you might be more task-oriented.</t>
  </si>
  <si>
    <t>How many people in the Task+Vision Quadrant does it take to change a lightbulb?</t>
  </si>
  <si>
    <t>Play this game for yourself:  select a challenging task - one that is a bit more arduous than changing a light bulb.</t>
  </si>
  <si>
    <t>Imagine how a person in each of the four quadrants would react to being asked to take on the task.</t>
  </si>
  <si>
    <t>How about the other three quadrants:</t>
  </si>
  <si>
    <t>Task + Vision</t>
  </si>
  <si>
    <t>People + Vision</t>
  </si>
  <si>
    <t>People + Execution</t>
  </si>
  <si>
    <t>Task + Execution</t>
  </si>
  <si>
    <t>If you want to improve your performance, focus on your strengths!  That is the most efficient way to progress.</t>
  </si>
  <si>
    <t>It must be outside your comfort zone.</t>
  </si>
  <si>
    <t>It must be out of your normal work routine.</t>
  </si>
  <si>
    <t>It must be safe - no unmanaged risks to you or the general public.</t>
  </si>
  <si>
    <t>For example, suppose you can't swim.  You cannot even stand to put your face underwater.</t>
  </si>
  <si>
    <t>How about: "Let's go to the end of the jetty and jump into the ocean, then we have to swim."</t>
  </si>
  <si>
    <t>Nope.</t>
  </si>
  <si>
    <t>What about: "Get a book on champion swimmers and read that."</t>
  </si>
  <si>
    <t>You're not getting it.</t>
  </si>
  <si>
    <t>That's much better, and how about adding: "Go to the swimming pool and dip our face in the water and sing our happy song."</t>
  </si>
  <si>
    <t xml:space="preserve">That's it.  </t>
  </si>
  <si>
    <t xml:space="preserve">But what if someone laughs at us for being silly?  </t>
  </si>
  <si>
    <t>And that is how you make improving a "weakness" fun!</t>
  </si>
  <si>
    <t>I'm not sure I can change the light bulb, because so many inventors have worked on it already.  I'll start by reading up on the technology of lighting.</t>
  </si>
  <si>
    <t>Test your prediction on your friends - the ones who have revealed their People-Task Execution-Vision (PTEV) scores to you.</t>
  </si>
  <si>
    <t>How to craft a "Stretch Exercise":</t>
  </si>
  <si>
    <t>How about: "When we have a shower, deliberately put our face in the stream of water and sing a happy song. Remember to breathe."</t>
  </si>
  <si>
    <t>How do you improve a strength - just do it.  Do it your way.</t>
  </si>
  <si>
    <t>But if you really do want to improve one of your non-strengths, or "weaknesses", make it FUN!  Craft a "Stretch Exercise" for yourself.</t>
  </si>
  <si>
    <t>It has to be fun.  Or just move on to something else.  Life is too long and miserable as it is.</t>
  </si>
  <si>
    <t>You're too important to be distracted by them.  Focus your attention on the people who support you.  In fact, the mockers can go jump in the pool!</t>
  </si>
  <si>
    <t>One.  I'm better on my own, thanks all the same.</t>
  </si>
  <si>
    <t>Here's a thought:  Go up to a group of important people at work and insuate yourself into their conversation.</t>
  </si>
  <si>
    <t>Nope.  How is that fun?  How is it not risky?</t>
  </si>
  <si>
    <t>Here is a better train of thought:</t>
  </si>
  <si>
    <t>If you are working for an advanced degree in talking to strangers pick a product that would normally embarrass you.</t>
  </si>
  <si>
    <t>For men that would be sanitary pads.  For women it might be, well, I don't know - something embarrassing.</t>
  </si>
  <si>
    <t xml:space="preserve">Choose a sales assistant (once you manage to find one).  </t>
  </si>
  <si>
    <t>Ask a stupid question.  For example:  "Do you sell refills for this?"</t>
  </si>
  <si>
    <t>Not only do I find it hard, my stomach has a way of telling me I cannot do it.  Also the blood circulation to my face makes me want to go away, now.</t>
  </si>
  <si>
    <t>Go into K-Mart.  Select any product.  Two options here.  If you are just starting out, select a product that you would normally buy.</t>
  </si>
  <si>
    <t>On the other hand, if they get really prickly, say the same thing just to make them feel bad.</t>
  </si>
  <si>
    <t>Then, as they say, "rinse and repeat" until the job is done!</t>
  </si>
  <si>
    <t>In almost no time you will be talking to strangers like a stand-up comedian.</t>
  </si>
  <si>
    <t>Do not worry.  They HAVE to reply to you.  Their employer makes it compuilsory for them.  AND they HAVE to be polite.</t>
  </si>
  <si>
    <t>Let me say that another way: if you want to improve your performance don't dwell on your weaknesses, or "non-strengths".</t>
  </si>
  <si>
    <t>Conversation started! Carry on. If they are rude to you, compliment thenm on their wit and subtlety, because if they didn't use those, they're FIRED.</t>
  </si>
  <si>
    <t>Thank them so much for their assistance!</t>
  </si>
  <si>
    <t>If you find it a positive experience tell them you always like to shop at (wherever) because of the wonderful helpfull staff just like them.</t>
  </si>
  <si>
    <t>Your boss is just about as useful as one of those mockers standing around the pool.</t>
  </si>
  <si>
    <t>Whom else do you know who is powerful, but is obliged to be nice to you?</t>
  </si>
  <si>
    <t>HOWEVER, this is a tricky one, because of your boss' combination of power and incomeptence.</t>
  </si>
  <si>
    <t xml:space="preserve">Try them out with: "Hey, you seem to be negative about …, but I am proud of …".  </t>
  </si>
  <si>
    <t>It must be blame-free - there is no "fail", there is only "learn and try again".</t>
  </si>
  <si>
    <t>How strong are you at working with powerful people on the question of what might be?</t>
  </si>
  <si>
    <t>You could start by looking at your own People+Vision Quadrant.</t>
  </si>
  <si>
    <t>In any case, it might be just the way to build up the strength to deal with that boss of yours.</t>
  </si>
  <si>
    <t>Maybe there is someone who is very nice and also powerful in your perception.</t>
  </si>
  <si>
    <t>If that leads to a fun conversation, that's great!</t>
  </si>
  <si>
    <t xml:space="preserve"> - If you said "smile and greet all my team mates" you may be people-oriented.</t>
  </si>
  <si>
    <t>Oh, I'm so busy just now.  Couldn't you please do it for me?  I'll be your BFF if you do.</t>
  </si>
  <si>
    <t>People who are especially talented in the … theme:</t>
  </si>
  <si>
    <t xml:space="preserve">The results are expressed as an orientation towards people or tasks (horizontal axis) and vision or execution (vertical axis).  </t>
  </si>
  <si>
    <t>Possible matches to the strengths in the book "Strengthsfinder 2" are included as well as some likely and unlikely occupations.</t>
  </si>
  <si>
    <t>For more information consult the book - link shown above.</t>
  </si>
  <si>
    <t>(Vision:        +100%)</t>
  </si>
  <si>
    <t>Name</t>
  </si>
  <si>
    <t xml:space="preserve">Team Analysis on Axes of People-Task and Execution-Vision </t>
  </si>
  <si>
    <t xml:space="preserve">2. </t>
  </si>
  <si>
    <t>Enter the names (or nicknames) of your team - from 2 up to 10 members.</t>
  </si>
  <si>
    <t>Remember the characteristics of a Stretch Exercise:</t>
  </si>
  <si>
    <t>Here's another example, more to the point of a work environment:  "I find it hard to converse with people I don't know"</t>
  </si>
  <si>
    <t>OK, you are probably on the "Task" end of the People-Task Axis.</t>
  </si>
  <si>
    <t>A finalk Example:  What if your boss focusses only on your weaknesses?</t>
  </si>
  <si>
    <t>How can you craft a Stretch Exercise to work on your People+Vision themes?</t>
  </si>
  <si>
    <t>your team members and other stakeholders.</t>
  </si>
  <si>
    <t xml:space="preserve">The purpose of this self-assessment is to begin the process of considering your own preferences and talents, as well as those of </t>
  </si>
  <si>
    <t xml:space="preserve">Individual Self Assessment on Axes of People-or-Task and Execution-or-Vision </t>
  </si>
  <si>
    <t>Here is a plot of the individuals in your team:</t>
  </si>
  <si>
    <t>Task and Vision - Planning</t>
  </si>
  <si>
    <t>People and Execution - Motivating the Team</t>
  </si>
  <si>
    <t>Task and Execution - Getting it Done</t>
  </si>
  <si>
    <t>And these charts may give you some ideas about allocating responsibilities:</t>
  </si>
  <si>
    <t>1.  The "Changing a Lightbulb" Game for Analysing your Friends</t>
  </si>
  <si>
    <t>2.  The "Stretch Exercise" Game for Improving on Non-Strengths</t>
  </si>
  <si>
    <t>Enter their individual scores on the People-or-Task and Execution-or-Vision scales.</t>
  </si>
  <si>
    <t>People and Vision - Negotiation</t>
  </si>
  <si>
    <t>Some Activities to Check Out the Theory</t>
  </si>
  <si>
    <t>I'm glad you asked me that - I'm drawing up a roster for light-bulb changing.  I'll post it on the fridge in the tea-room.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</si>
</sst>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4"/>
      <color rgb="FF3F3F76"/>
      <name val="Calibri"/>
      <family val="2"/>
      <scheme val="minor"/>
    </font>
    <font>
      <sz val="8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u/>
      <sz val="16"/>
      <color theme="10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i/>
      <sz val="16"/>
      <color rgb="FF3F3F76"/>
      <name val="Calibri"/>
      <family val="2"/>
      <scheme val="minor"/>
    </font>
    <font>
      <b/>
      <i/>
      <sz val="14"/>
      <color theme="5"/>
      <name val="Calibri"/>
      <family val="2"/>
      <scheme val="minor"/>
    </font>
    <font>
      <b/>
      <i/>
      <sz val="16"/>
      <color rgb="FF0070C0"/>
      <name val="Calibri"/>
      <family val="2"/>
      <scheme val="minor"/>
    </font>
    <font>
      <b/>
      <i/>
      <sz val="16"/>
      <color theme="5"/>
      <name val="Calibri"/>
      <family val="2"/>
      <scheme val="minor"/>
    </font>
    <font>
      <b/>
      <i/>
      <sz val="14"/>
      <color theme="4"/>
      <name val="Calibri"/>
      <family val="2"/>
      <scheme val="minor"/>
    </font>
    <font>
      <b/>
      <i/>
      <sz val="16"/>
      <color theme="4"/>
      <name val="Calibri"/>
      <family val="2"/>
      <scheme val="minor"/>
    </font>
    <font>
      <b/>
      <i/>
      <sz val="14"/>
      <color theme="1" tint="0.499984740745262"/>
      <name val="Calibri"/>
      <family val="2"/>
      <scheme val="minor"/>
    </font>
    <font>
      <b/>
      <i/>
      <sz val="14"/>
      <color theme="6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 style="medium">
        <color theme="6"/>
      </right>
      <top/>
      <bottom/>
      <diagonal/>
    </border>
    <border>
      <left/>
      <right/>
      <top/>
      <bottom style="medium">
        <color theme="6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5" tint="0.39994506668294322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5" tint="0.39994506668294322"/>
      </right>
      <top/>
      <bottom/>
      <diagonal/>
    </border>
    <border>
      <left style="thick">
        <color theme="0"/>
      </left>
      <right/>
      <top/>
      <bottom style="thick">
        <color theme="5" tint="0.39994506668294322"/>
      </bottom>
      <diagonal/>
    </border>
    <border>
      <left/>
      <right/>
      <top/>
      <bottom style="thick">
        <color theme="5" tint="0.39994506668294322"/>
      </bottom>
      <diagonal/>
    </border>
    <border>
      <left/>
      <right style="thick">
        <color theme="5" tint="0.39994506668294322"/>
      </right>
      <top/>
      <bottom style="thick">
        <color theme="5" tint="0.39994506668294322"/>
      </bottom>
      <diagonal/>
    </border>
    <border>
      <left/>
      <right style="medium">
        <color theme="6"/>
      </right>
      <top style="thick">
        <color theme="0"/>
      </top>
      <bottom/>
      <diagonal/>
    </border>
    <border>
      <left style="thick">
        <color theme="0"/>
      </left>
      <right/>
      <top/>
      <bottom style="medium">
        <color theme="6"/>
      </bottom>
      <diagonal/>
    </border>
    <border>
      <left/>
      <right style="thick">
        <color theme="6"/>
      </right>
      <top/>
      <bottom/>
      <diagonal/>
    </border>
    <border>
      <left/>
      <right/>
      <top/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  <border>
      <left/>
      <right style="thick">
        <color theme="6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6"/>
      </bottom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6" fillId="5" borderId="1" applyNumberFormat="0" applyAlignment="0" applyProtection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2" fontId="0" fillId="0" borderId="0" xfId="0" applyNumberFormat="1"/>
    <xf numFmtId="0" fontId="8" fillId="0" borderId="0" xfId="0" applyFon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9" fillId="2" borderId="1" xfId="2" applyFont="1" applyProtection="1">
      <protection locked="0"/>
    </xf>
    <xf numFmtId="1" fontId="9" fillId="2" borderId="1" xfId="2" applyNumberFormat="1" applyFont="1" applyAlignment="1" applyProtection="1">
      <alignment horizontal="center"/>
      <protection locked="0"/>
    </xf>
    <xf numFmtId="0" fontId="20" fillId="2" borderId="1" xfId="2" applyFont="1" applyProtection="1">
      <protection locked="0"/>
    </xf>
    <xf numFmtId="9" fontId="9" fillId="2" borderId="1" xfId="1" applyFont="1" applyFill="1" applyBorder="1" applyAlignment="1" applyProtection="1">
      <alignment horizontal="center"/>
      <protection locked="0"/>
    </xf>
    <xf numFmtId="0" fontId="5" fillId="0" borderId="0" xfId="0" applyFont="1"/>
    <xf numFmtId="0" fontId="8" fillId="0" borderId="0" xfId="0" applyFont="1" applyProtection="1"/>
    <xf numFmtId="0" fontId="0" fillId="0" borderId="0" xfId="0" applyProtection="1"/>
    <xf numFmtId="0" fontId="6" fillId="0" borderId="0" xfId="0" applyFont="1" applyProtection="1"/>
    <xf numFmtId="0" fontId="18" fillId="0" borderId="0" xfId="20" applyFont="1" applyProtection="1"/>
    <xf numFmtId="0" fontId="13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left" indent="2"/>
    </xf>
    <xf numFmtId="0" fontId="6" fillId="0" borderId="0" xfId="0" applyFont="1" applyAlignment="1" applyProtection="1">
      <alignment horizontal="left" vertical="top"/>
    </xf>
    <xf numFmtId="0" fontId="13" fillId="0" borderId="0" xfId="0" applyFont="1" applyAlignment="1" applyProtection="1">
      <alignment vertical="top"/>
    </xf>
    <xf numFmtId="165" fontId="0" fillId="0" borderId="0" xfId="0" applyNumberFormat="1" applyAlignment="1" applyProtection="1">
      <alignment horizontal="right"/>
    </xf>
    <xf numFmtId="165" fontId="0" fillId="0" borderId="0" xfId="0" applyNumberFormat="1" applyAlignment="1" applyProtection="1">
      <alignment horizontal="left"/>
    </xf>
    <xf numFmtId="0" fontId="13" fillId="0" borderId="0" xfId="0" quotePrefix="1" applyFont="1" applyAlignment="1" applyProtection="1">
      <alignment horizontal="left" indent="2"/>
    </xf>
    <xf numFmtId="0" fontId="13" fillId="0" borderId="0" xfId="0" applyFont="1" applyAlignment="1" applyProtection="1">
      <alignment horizontal="left"/>
    </xf>
    <xf numFmtId="0" fontId="0" fillId="0" borderId="0" xfId="0" applyAlignment="1" applyProtection="1">
      <alignment vertical="top"/>
    </xf>
    <xf numFmtId="0" fontId="15" fillId="0" borderId="0" xfId="0" applyFont="1" applyProtection="1"/>
    <xf numFmtId="9" fontId="22" fillId="0" borderId="0" xfId="1" applyFont="1" applyAlignment="1" applyProtection="1">
      <alignment horizontal="center"/>
    </xf>
    <xf numFmtId="9" fontId="23" fillId="0" borderId="0" xfId="1" applyFont="1" applyAlignment="1" applyProtection="1">
      <alignment horizontal="center"/>
    </xf>
    <xf numFmtId="9" fontId="24" fillId="0" borderId="0" xfId="1" applyFont="1" applyAlignment="1" applyProtection="1">
      <alignment horizontal="center"/>
    </xf>
    <xf numFmtId="9" fontId="21" fillId="0" borderId="0" xfId="1" applyFont="1" applyAlignment="1" applyProtection="1">
      <alignment horizontal="center"/>
    </xf>
    <xf numFmtId="0" fontId="17" fillId="0" borderId="0" xfId="0" applyFont="1" applyAlignment="1" applyProtection="1">
      <alignment horizontal="right"/>
    </xf>
    <xf numFmtId="0" fontId="17" fillId="0" borderId="0" xfId="0" applyFont="1" applyAlignment="1" applyProtection="1">
      <alignment vertical="top" wrapText="1"/>
    </xf>
    <xf numFmtId="0" fontId="5" fillId="0" borderId="0" xfId="0" applyFont="1" applyAlignment="1" applyProtection="1">
      <alignment horizontal="right"/>
    </xf>
    <xf numFmtId="9" fontId="25" fillId="5" borderId="1" xfId="19" applyNumberFormat="1" applyFont="1" applyAlignment="1" applyProtection="1">
      <alignment horizontal="center"/>
    </xf>
    <xf numFmtId="9" fontId="23" fillId="5" borderId="1" xfId="19" applyNumberFormat="1" applyFont="1" applyAlignment="1" applyProtection="1">
      <alignment horizontal="center"/>
    </xf>
    <xf numFmtId="0" fontId="6" fillId="0" borderId="0" xfId="0" applyFont="1" applyAlignment="1" applyProtection="1">
      <alignment vertical="top" wrapText="1"/>
    </xf>
    <xf numFmtId="0" fontId="17" fillId="0" borderId="0" xfId="0" applyFont="1" applyAlignment="1" applyProtection="1">
      <alignment horizontal="right" vertical="top"/>
    </xf>
    <xf numFmtId="0" fontId="0" fillId="0" borderId="0" xfId="0" applyAlignment="1" applyProtection="1">
      <alignment horizontal="right"/>
    </xf>
    <xf numFmtId="0" fontId="7" fillId="0" borderId="0" xfId="0" applyFont="1" applyAlignment="1" applyProtection="1">
      <alignment horizontal="left" vertical="center" wrapText="1"/>
    </xf>
    <xf numFmtId="0" fontId="7" fillId="0" borderId="0" xfId="0" applyFont="1" applyAlignment="1" applyProtection="1">
      <alignment horizontal="center" vertical="top" wrapText="1"/>
    </xf>
    <xf numFmtId="0" fontId="6" fillId="0" borderId="0" xfId="0" applyFont="1" applyAlignment="1" applyProtection="1">
      <alignment horizontal="right"/>
    </xf>
    <xf numFmtId="0" fontId="11" fillId="0" borderId="0" xfId="0" applyFont="1" applyProtection="1"/>
    <xf numFmtId="0" fontId="14" fillId="0" borderId="0" xfId="0" applyFont="1" applyProtection="1"/>
    <xf numFmtId="0" fontId="14" fillId="0" borderId="0" xfId="0" applyFont="1" applyAlignment="1" applyProtection="1">
      <alignment horizontal="center"/>
    </xf>
    <xf numFmtId="0" fontId="17" fillId="0" borderId="0" xfId="0" quotePrefix="1" applyFont="1" applyAlignment="1" applyProtection="1">
      <alignment horizontal="right" vertical="top"/>
    </xf>
    <xf numFmtId="9" fontId="0" fillId="0" borderId="0" xfId="1" applyFont="1" applyProtection="1"/>
    <xf numFmtId="2" fontId="0" fillId="0" borderId="0" xfId="0" applyNumberFormat="1" applyProtection="1"/>
    <xf numFmtId="0" fontId="0" fillId="0" borderId="0" xfId="0" quotePrefix="1" applyProtection="1"/>
    <xf numFmtId="0" fontId="0" fillId="6" borderId="0" xfId="0" applyFill="1" applyProtection="1"/>
    <xf numFmtId="0" fontId="7" fillId="3" borderId="5" xfId="0" applyFont="1" applyFill="1" applyBorder="1" applyAlignment="1" applyProtection="1">
      <alignment horizontal="left" vertical="center"/>
    </xf>
    <xf numFmtId="0" fontId="7" fillId="3" borderId="6" xfId="0" applyFont="1" applyFill="1" applyBorder="1" applyAlignment="1" applyProtection="1">
      <alignment vertical="top"/>
    </xf>
    <xf numFmtId="0" fontId="0" fillId="3" borderId="13" xfId="0" applyFill="1" applyBorder="1" applyAlignment="1" applyProtection="1">
      <alignment vertical="top"/>
    </xf>
    <xf numFmtId="0" fontId="0" fillId="6" borderId="0" xfId="0" applyFill="1" applyAlignment="1" applyProtection="1">
      <alignment vertical="top"/>
    </xf>
    <xf numFmtId="0" fontId="7" fillId="3" borderId="5" xfId="0" applyFont="1" applyFill="1" applyBorder="1" applyAlignment="1" applyProtection="1">
      <alignment vertical="center"/>
    </xf>
    <xf numFmtId="0" fontId="0" fillId="3" borderId="6" xfId="0" applyFill="1" applyBorder="1" applyAlignment="1" applyProtection="1">
      <alignment vertical="top"/>
    </xf>
    <xf numFmtId="0" fontId="0" fillId="3" borderId="18" xfId="0" applyFill="1" applyBorder="1" applyProtection="1"/>
    <xf numFmtId="0" fontId="0" fillId="3" borderId="8" xfId="0" applyFill="1" applyBorder="1" applyAlignment="1" applyProtection="1">
      <alignment vertical="top"/>
    </xf>
    <xf numFmtId="0" fontId="7" fillId="3" borderId="0" xfId="0" applyFont="1" applyFill="1" applyBorder="1" applyAlignment="1" applyProtection="1">
      <alignment vertical="top" wrapText="1"/>
    </xf>
    <xf numFmtId="0" fontId="0" fillId="3" borderId="3" xfId="0" applyFill="1" applyBorder="1" applyAlignment="1" applyProtection="1">
      <alignment vertical="top"/>
    </xf>
    <xf numFmtId="0" fontId="6" fillId="3" borderId="0" xfId="0" applyFont="1" applyFill="1" applyBorder="1" applyAlignment="1" applyProtection="1">
      <alignment vertical="top"/>
    </xf>
    <xf numFmtId="0" fontId="0" fillId="3" borderId="0" xfId="0" applyFill="1" applyBorder="1" applyAlignment="1" applyProtection="1">
      <alignment vertical="top"/>
    </xf>
    <xf numFmtId="0" fontId="0" fillId="3" borderId="15" xfId="0" applyFill="1" applyBorder="1" applyProtection="1"/>
    <xf numFmtId="0" fontId="0" fillId="3" borderId="19" xfId="0" applyFill="1" applyBorder="1" applyAlignment="1" applyProtection="1">
      <alignment vertical="top"/>
    </xf>
    <xf numFmtId="0" fontId="6" fillId="3" borderId="16" xfId="0" applyFont="1" applyFill="1" applyBorder="1" applyAlignment="1" applyProtection="1">
      <alignment vertical="top"/>
    </xf>
    <xf numFmtId="0" fontId="0" fillId="3" borderId="16" xfId="0" applyFill="1" applyBorder="1" applyAlignment="1" applyProtection="1">
      <alignment vertical="top"/>
    </xf>
    <xf numFmtId="0" fontId="0" fillId="3" borderId="17" xfId="0" applyFill="1" applyBorder="1" applyProtection="1"/>
    <xf numFmtId="0" fontId="7" fillId="3" borderId="8" xfId="0" applyFont="1" applyFill="1" applyBorder="1" applyAlignment="1" applyProtection="1">
      <alignment vertical="top"/>
    </xf>
    <xf numFmtId="0" fontId="12" fillId="0" borderId="0" xfId="0" applyFont="1" applyAlignment="1" applyProtection="1">
      <alignment horizontal="center"/>
    </xf>
    <xf numFmtId="0" fontId="7" fillId="3" borderId="8" xfId="0" applyFont="1" applyFill="1" applyBorder="1" applyAlignment="1" applyProtection="1">
      <alignment horizontal="right" vertical="top"/>
    </xf>
    <xf numFmtId="0" fontId="13" fillId="3" borderId="0" xfId="0" applyFont="1" applyFill="1" applyBorder="1" applyAlignment="1" applyProtection="1">
      <alignment vertical="top" wrapText="1"/>
    </xf>
    <xf numFmtId="164" fontId="0" fillId="0" borderId="0" xfId="0" applyNumberFormat="1" applyProtection="1"/>
    <xf numFmtId="165" fontId="0" fillId="0" borderId="0" xfId="0" applyNumberFormat="1" applyProtection="1"/>
    <xf numFmtId="0" fontId="7" fillId="3" borderId="14" xfId="0" applyFont="1" applyFill="1" applyBorder="1" applyAlignment="1" applyProtection="1">
      <alignment horizontal="right" vertical="top"/>
    </xf>
    <xf numFmtId="0" fontId="13" fillId="3" borderId="4" xfId="0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7" fillId="4" borderId="5" xfId="0" applyFont="1" applyFill="1" applyBorder="1" applyAlignment="1" applyProtection="1">
      <alignment vertical="center"/>
    </xf>
    <xf numFmtId="0" fontId="0" fillId="4" borderId="6" xfId="0" applyFill="1" applyBorder="1" applyAlignment="1" applyProtection="1">
      <alignment vertical="top" wrapText="1"/>
    </xf>
    <xf numFmtId="0" fontId="0" fillId="4" borderId="7" xfId="0" applyFill="1" applyBorder="1" applyAlignment="1" applyProtection="1">
      <alignment vertical="top"/>
    </xf>
    <xf numFmtId="0" fontId="0" fillId="4" borderId="6" xfId="0" applyFill="1" applyBorder="1" applyAlignment="1" applyProtection="1">
      <alignment vertical="top"/>
    </xf>
    <xf numFmtId="0" fontId="0" fillId="4" borderId="7" xfId="0" applyFill="1" applyBorder="1" applyProtection="1"/>
    <xf numFmtId="0" fontId="7" fillId="4" borderId="8" xfId="0" applyFont="1" applyFill="1" applyBorder="1" applyAlignment="1" applyProtection="1">
      <alignment horizontal="right" vertical="top"/>
    </xf>
    <xf numFmtId="0" fontId="13" fillId="4" borderId="0" xfId="0" applyFont="1" applyFill="1" applyBorder="1" applyAlignment="1" applyProtection="1">
      <alignment vertical="top" wrapText="1"/>
    </xf>
    <xf numFmtId="0" fontId="0" fillId="4" borderId="9" xfId="0" applyFill="1" applyBorder="1" applyAlignment="1" applyProtection="1">
      <alignment vertical="top"/>
    </xf>
    <xf numFmtId="0" fontId="0" fillId="4" borderId="8" xfId="0" applyFill="1" applyBorder="1" applyAlignment="1" applyProtection="1">
      <alignment vertical="top"/>
    </xf>
    <xf numFmtId="0" fontId="6" fillId="4" borderId="0" xfId="0" applyFont="1" applyFill="1" applyBorder="1" applyAlignment="1" applyProtection="1">
      <alignment vertical="top"/>
    </xf>
    <xf numFmtId="0" fontId="0" fillId="4" borderId="0" xfId="0" applyFill="1" applyBorder="1" applyAlignment="1" applyProtection="1">
      <alignment vertical="top"/>
    </xf>
    <xf numFmtId="0" fontId="0" fillId="4" borderId="9" xfId="0" applyFill="1" applyBorder="1" applyProtection="1"/>
    <xf numFmtId="0" fontId="7" fillId="4" borderId="10" xfId="0" applyFont="1" applyFill="1" applyBorder="1" applyAlignment="1" applyProtection="1">
      <alignment horizontal="right" vertical="top"/>
    </xf>
    <xf numFmtId="0" fontId="13" fillId="4" borderId="11" xfId="0" applyFont="1" applyFill="1" applyBorder="1" applyAlignment="1" applyProtection="1">
      <alignment vertical="top" wrapText="1"/>
    </xf>
    <xf numFmtId="0" fontId="0" fillId="4" borderId="12" xfId="0" applyFill="1" applyBorder="1" applyAlignment="1" applyProtection="1">
      <alignment vertical="top"/>
    </xf>
    <xf numFmtId="0" fontId="0" fillId="4" borderId="10" xfId="0" applyFill="1" applyBorder="1" applyAlignment="1" applyProtection="1">
      <alignment vertical="top"/>
    </xf>
    <xf numFmtId="0" fontId="6" fillId="4" borderId="11" xfId="0" applyFont="1" applyFill="1" applyBorder="1" applyAlignment="1" applyProtection="1">
      <alignment vertical="top"/>
    </xf>
    <xf numFmtId="0" fontId="0" fillId="4" borderId="11" xfId="0" applyFill="1" applyBorder="1" applyAlignment="1" applyProtection="1">
      <alignment vertical="top"/>
    </xf>
    <xf numFmtId="0" fontId="0" fillId="4" borderId="12" xfId="0" applyFill="1" applyBorder="1" applyProtection="1"/>
    <xf numFmtId="0" fontId="17" fillId="0" borderId="0" xfId="0" applyFont="1" applyAlignment="1" applyProtection="1">
      <alignment vertical="top"/>
    </xf>
    <xf numFmtId="0" fontId="17" fillId="0" borderId="0" xfId="0" quotePrefix="1" applyFont="1" applyAlignment="1" applyProtection="1">
      <alignment horizontal="right"/>
    </xf>
    <xf numFmtId="9" fontId="6" fillId="0" borderId="0" xfId="1" applyFont="1" applyAlignment="1" applyProtection="1">
      <alignment horizontal="center"/>
    </xf>
    <xf numFmtId="9" fontId="0" fillId="0" borderId="0" xfId="0" applyNumberFormat="1" applyAlignment="1" applyProtection="1">
      <alignment horizontal="center"/>
    </xf>
    <xf numFmtId="0" fontId="0" fillId="0" borderId="0" xfId="0" applyAlignment="1" applyProtection="1">
      <alignment horizontal="center"/>
    </xf>
    <xf numFmtId="9" fontId="19" fillId="0" borderId="0" xfId="0" applyNumberFormat="1" applyFont="1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2" fontId="0" fillId="0" borderId="0" xfId="0" applyNumberForma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9" fontId="0" fillId="0" borderId="0" xfId="1" applyFont="1" applyAlignment="1" applyProtection="1">
      <alignment horizontal="center"/>
    </xf>
    <xf numFmtId="0" fontId="27" fillId="0" borderId="0" xfId="0" applyFont="1" applyProtection="1"/>
    <xf numFmtId="0" fontId="24" fillId="0" borderId="0" xfId="0" applyFont="1" applyProtection="1"/>
    <xf numFmtId="0" fontId="21" fillId="0" borderId="0" xfId="0" applyFont="1" applyProtection="1"/>
    <xf numFmtId="0" fontId="26" fillId="0" borderId="0" xfId="0" applyFont="1" applyProtection="1"/>
  </cellXfs>
  <cellStyles count="21">
    <cellStyle name="Calculation" xfId="19" builtinId="22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0" builtinId="8"/>
    <cellStyle name="Input" xfId="2" builtinId="20"/>
    <cellStyle name="Normal" xfId="0" builtinId="0"/>
    <cellStyle name="Per cent" xfId="1" builtinId="5"/>
  </cellStyles>
  <dxfs count="0"/>
  <tableStyles count="0" defaultTableStyle="TableStyleMedium9" defaultPivotStyle="PivotStyleMedium4"/>
  <colors>
    <mruColors>
      <color rgb="FFFFFFFF"/>
      <color rgb="FFFF726F"/>
      <color rgb="FFC4C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strRef>
          <c:f>Self_Assessment!$P$86</c:f>
          <c:strCache>
            <c:ptCount val="1"/>
            <c:pt idx="0">
              <c:v>Self-Assessment for Russell Crowe - Strengthsfinder 2 Themes</c:v>
            </c:pt>
          </c:strCache>
        </c:strRef>
      </c:tx>
      <c:layout>
        <c:manualLayout>
          <c:xMode val="edge"/>
          <c:yMode val="edge"/>
          <c:x val="8.1539708554530216E-2"/>
          <c:y val="1.8848937235446724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0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2039049417465"/>
          <c:y val="0.10967172636657413"/>
          <c:w val="0.80136895642569561"/>
          <c:h val="0.83694438122980286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24"/>
            <c:spPr>
              <a:noFill/>
              <a:ln w="6350">
                <a:solidFill>
                  <a:schemeClr val="tx1">
                    <a:alpha val="14000"/>
                  </a:schemeClr>
                </a:solidFill>
                <a:prstDash val="dash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23DA3C4-B6E7-B642-95E7-EF299BF1E91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91A-6642-B0AC-44924ABEB6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E053789-DCC1-D946-84AF-F8C391A5D5D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91A-6642-B0AC-44924ABEB6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9BF3233-6E11-8C43-B0FB-13014633B40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91A-6642-B0AC-44924ABEB6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F0BE88-0F20-8A4D-84FF-521187954F8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91A-6642-B0AC-44924ABEB63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DD33DD-865F-924F-B7B9-4CBE249E969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91A-6642-B0AC-44924ABEB63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A463D3E-9129-D046-949E-680BB459D9A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91A-6642-B0AC-44924ABEB6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F08695-EC55-3B46-9E71-B2B792D4926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91A-6642-B0AC-44924ABEB6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73A146-64E5-014A-B22A-EE3A382CD89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91A-6642-B0AC-44924ABEB63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C00DB2E-86F5-4B40-9C1C-E6C3F6B4D2D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91A-6642-B0AC-44924ABEB63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54D012E-A89C-B34F-A9EC-019CC1EBE5F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91A-6642-B0AC-44924ABEB6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0075E49-F851-474D-B4D3-1C89A2EADC7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91A-6642-B0AC-44924ABEB63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11C0A45-50AF-4540-AC9F-368A1769B15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91A-6642-B0AC-44924ABEB63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3B3A785-B236-6645-9EFE-E4E2846D54C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91A-6642-B0AC-44924ABEB63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18C62BC-8E14-A043-84F2-CADB42FA3C2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91A-6642-B0AC-44924ABEB63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55C5E8-2BE5-A842-9887-40EDFB61A29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91A-6642-B0AC-44924ABEB63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0C198B6-1B53-9E47-A109-492C89595D7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91A-6642-B0AC-44924ABEB63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09B3508-0B84-0F4C-A74F-B7A1C0CAF09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91A-6642-B0AC-44924ABEB63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63D9BFA-A6EE-2A49-887C-4760C006969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91A-6642-B0AC-44924ABEB63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E419117-EA1B-2845-979A-9C760A1178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91A-6642-B0AC-44924ABEB63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6E81EC5-4225-C648-8CF4-12A62466204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91A-6642-B0AC-44924ABEB63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09B0E50-A41A-7C4D-81F4-2C5CD636EC8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91A-6642-B0AC-44924ABEB63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DD0E84A-1105-004F-8F31-0B7AC987A04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91A-6642-B0AC-44924ABEB63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601CC69-4620-8C4E-9D07-F697CC4DFA6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91A-6642-B0AC-44924ABEB63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4A29015-98FB-E444-B71C-03FF78C164E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91A-6642-B0AC-44924ABEB63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8A8A903-1A0B-5348-AD41-396130872D3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91A-6642-B0AC-44924ABEB63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63A59C1-AFF9-F543-B51E-2034C9B3F6B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91A-6642-B0AC-44924ABEB63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B4E67B1-9E22-F340-8010-F7E2929F140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91A-6642-B0AC-44924ABEB63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B9ACB27-3202-6B48-9D44-AB838AFFB04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91A-6642-B0AC-44924ABEB636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F77783E-62B1-A645-96E8-55E51B5DDFD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91A-6642-B0AC-44924ABEB63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D3F4892-717A-AD43-B92E-1F84EC289A5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91A-6642-B0AC-44924ABEB63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7A23546-4C19-AB47-A0B1-17A2733D6F3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91A-6642-B0AC-44924ABEB63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F5ED6CF-C627-344A-9C2A-95E841B9BCB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91A-6642-B0AC-44924ABEB63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8C2B7FAC-828E-7F40-A157-BDC4E0D79F5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91A-6642-B0AC-44924ABEB63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37E728E-8C11-4044-B19C-BAFC291271A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91A-6642-B0AC-44924ABEB636}"/>
                </c:ext>
              </c:extLst>
            </c:dLbl>
            <c:spPr>
              <a:solidFill>
                <a:srgbClr val="FFFFFF">
                  <a:alpha val="27843"/>
                </a:srgb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Self_Assessment!$M$7:$M$40</c:f>
              <c:numCache>
                <c:formatCode>0.0000</c:formatCode>
                <c:ptCount val="34"/>
                <c:pt idx="0">
                  <c:v>0.87499999567569831</c:v>
                </c:pt>
                <c:pt idx="1">
                  <c:v>0.70000003902398189</c:v>
                </c:pt>
                <c:pt idx="2">
                  <c:v>0.34999998495197404</c:v>
                </c:pt>
                <c:pt idx="3">
                  <c:v>0.70000004010767336</c:v>
                </c:pt>
                <c:pt idx="4">
                  <c:v>-0.12000001172371635</c:v>
                </c:pt>
                <c:pt idx="5">
                  <c:v>-0.87500001947471584</c:v>
                </c:pt>
                <c:pt idx="6">
                  <c:v>0.10000000654441973</c:v>
                </c:pt>
                <c:pt idx="7">
                  <c:v>-0.3999999803523166</c:v>
                </c:pt>
                <c:pt idx="8">
                  <c:v>0.19090906523550863</c:v>
                </c:pt>
                <c:pt idx="9">
                  <c:v>-0.79999999825228474</c:v>
                </c:pt>
                <c:pt idx="10">
                  <c:v>-0.29999999517419168</c:v>
                </c:pt>
                <c:pt idx="11">
                  <c:v>0.15000003476056079</c:v>
                </c:pt>
                <c:pt idx="12">
                  <c:v>0.10000000667069774</c:v>
                </c:pt>
                <c:pt idx="13">
                  <c:v>-0.30000004572033029</c:v>
                </c:pt>
                <c:pt idx="14">
                  <c:v>0.69999998860662582</c:v>
                </c:pt>
                <c:pt idx="15">
                  <c:v>-0.44999995556781763</c:v>
                </c:pt>
                <c:pt idx="16">
                  <c:v>0.20000001032053477</c:v>
                </c:pt>
                <c:pt idx="17">
                  <c:v>0.80000001697810552</c:v>
                </c:pt>
                <c:pt idx="18">
                  <c:v>-0.57272727756266373</c:v>
                </c:pt>
                <c:pt idx="19">
                  <c:v>0.51818184887489349</c:v>
                </c:pt>
                <c:pt idx="20">
                  <c:v>-0.40000002982994776</c:v>
                </c:pt>
                <c:pt idx="21">
                  <c:v>-0.64999995893899332</c:v>
                </c:pt>
                <c:pt idx="22">
                  <c:v>9.9999970101398092E-2</c:v>
                </c:pt>
                <c:pt idx="23">
                  <c:v>0.8750000152048405</c:v>
                </c:pt>
                <c:pt idx="24">
                  <c:v>0.39999999493460581</c:v>
                </c:pt>
                <c:pt idx="25">
                  <c:v>0.40000003238554432</c:v>
                </c:pt>
                <c:pt idx="26">
                  <c:v>-0.79999995521745026</c:v>
                </c:pt>
                <c:pt idx="27">
                  <c:v>-0.44999995707095364</c:v>
                </c:pt>
                <c:pt idx="28">
                  <c:v>0.25000003929938486</c:v>
                </c:pt>
                <c:pt idx="29">
                  <c:v>-0.10000003297502102</c:v>
                </c:pt>
                <c:pt idx="30">
                  <c:v>-0.46363635731797992</c:v>
                </c:pt>
                <c:pt idx="31">
                  <c:v>-0.13636363275465158</c:v>
                </c:pt>
                <c:pt idx="32">
                  <c:v>0.13636364759319936</c:v>
                </c:pt>
                <c:pt idx="33">
                  <c:v>-0.8749999991301447</c:v>
                </c:pt>
              </c:numCache>
            </c:numRef>
          </c:xVal>
          <c:yVal>
            <c:numRef>
              <c:f>Self_Assessment!$N$7:$N$40</c:f>
              <c:numCache>
                <c:formatCode>0.0000</c:formatCode>
                <c:ptCount val="34"/>
                <c:pt idx="0">
                  <c:v>-0.87499995714027956</c:v>
                </c:pt>
                <c:pt idx="1">
                  <c:v>-0.59999995691373087</c:v>
                </c:pt>
                <c:pt idx="2">
                  <c:v>-0.29999995376297844</c:v>
                </c:pt>
                <c:pt idx="3">
                  <c:v>0.40000000268548597</c:v>
                </c:pt>
                <c:pt idx="4">
                  <c:v>-0.34999998623312795</c:v>
                </c:pt>
                <c:pt idx="5">
                  <c:v>0.87499998945549939</c:v>
                </c:pt>
                <c:pt idx="6">
                  <c:v>-0.84545455320641061</c:v>
                </c:pt>
                <c:pt idx="7">
                  <c:v>-0.24545452711993523</c:v>
                </c:pt>
                <c:pt idx="8">
                  <c:v>0.40909093673653785</c:v>
                </c:pt>
                <c:pt idx="9">
                  <c:v>0.69999999083493669</c:v>
                </c:pt>
                <c:pt idx="10">
                  <c:v>-4.9999991013650838E-2</c:v>
                </c:pt>
                <c:pt idx="11">
                  <c:v>-0.35454542400552436</c:v>
                </c:pt>
                <c:pt idx="12">
                  <c:v>0.19090907827780115</c:v>
                </c:pt>
                <c:pt idx="13">
                  <c:v>0.30000000585837122</c:v>
                </c:pt>
                <c:pt idx="14">
                  <c:v>-0.29999995948991187</c:v>
                </c:pt>
                <c:pt idx="15">
                  <c:v>8.1818169504901228E-2</c:v>
                </c:pt>
                <c:pt idx="16">
                  <c:v>-8.1818176168460599E-2</c:v>
                </c:pt>
                <c:pt idx="17">
                  <c:v>0.70000000863247014</c:v>
                </c:pt>
                <c:pt idx="18">
                  <c:v>-0.60000003969650006</c:v>
                </c:pt>
                <c:pt idx="19">
                  <c:v>0.57272724909415618</c:v>
                </c:pt>
                <c:pt idx="20">
                  <c:v>-0.74999997040773736</c:v>
                </c:pt>
                <c:pt idx="21">
                  <c:v>-0.40000002227140236</c:v>
                </c:pt>
                <c:pt idx="22">
                  <c:v>0.29999998294893349</c:v>
                </c:pt>
                <c:pt idx="23">
                  <c:v>0.87500000088390661</c:v>
                </c:pt>
                <c:pt idx="24">
                  <c:v>-0.14999999148390927</c:v>
                </c:pt>
                <c:pt idx="25">
                  <c:v>0.24999996254817636</c:v>
                </c:pt>
                <c:pt idx="26">
                  <c:v>0.39999997828482725</c:v>
                </c:pt>
                <c:pt idx="27">
                  <c:v>-0.13636364426336622</c:v>
                </c:pt>
                <c:pt idx="28">
                  <c:v>-0.65000002329575446</c:v>
                </c:pt>
                <c:pt idx="29">
                  <c:v>0.10000004377068096</c:v>
                </c:pt>
                <c:pt idx="30">
                  <c:v>0.79090907348845807</c:v>
                </c:pt>
                <c:pt idx="31">
                  <c:v>0.40000004776624443</c:v>
                </c:pt>
                <c:pt idx="32">
                  <c:v>0.73636365434603979</c:v>
                </c:pt>
                <c:pt idx="33">
                  <c:v>-0.87499996732381169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Numbers!$B$6:$B$39</c15:f>
                <c15:dlblRangeCache>
                  <c:ptCount val="34"/>
                  <c:pt idx="0">
                    <c:v>Achiever</c:v>
                  </c:pt>
                  <c:pt idx="1">
                    <c:v>Activator</c:v>
                  </c:pt>
                  <c:pt idx="2">
                    <c:v>Adaptability</c:v>
                  </c:pt>
                  <c:pt idx="3">
                    <c:v>Analytical</c:v>
                  </c:pt>
                  <c:pt idx="4">
                    <c:v>Arranger</c:v>
                  </c:pt>
                  <c:pt idx="5">
                    <c:v>Belief</c:v>
                  </c:pt>
                  <c:pt idx="6">
                    <c:v>Command</c:v>
                  </c:pt>
                  <c:pt idx="7">
                    <c:v>Communication</c:v>
                  </c:pt>
                  <c:pt idx="8">
                    <c:v>Competition</c:v>
                  </c:pt>
                  <c:pt idx="9">
                    <c:v>Connectedness</c:v>
                  </c:pt>
                  <c:pt idx="10">
                    <c:v>Consistency</c:v>
                  </c:pt>
                  <c:pt idx="11">
                    <c:v>Context</c:v>
                  </c:pt>
                  <c:pt idx="12">
                    <c:v>Deliberative</c:v>
                  </c:pt>
                  <c:pt idx="13">
                    <c:v>Developer</c:v>
                  </c:pt>
                  <c:pt idx="14">
                    <c:v>Discipline</c:v>
                  </c:pt>
                  <c:pt idx="15">
                    <c:v>Empathy</c:v>
                  </c:pt>
                  <c:pt idx="16">
                    <c:v>Focus</c:v>
                  </c:pt>
                  <c:pt idx="17">
                    <c:v>Futuristic</c:v>
                  </c:pt>
                  <c:pt idx="18">
                    <c:v>Harmony</c:v>
                  </c:pt>
                  <c:pt idx="19">
                    <c:v>Ideation</c:v>
                  </c:pt>
                  <c:pt idx="20">
                    <c:v>Includer</c:v>
                  </c:pt>
                  <c:pt idx="21">
                    <c:v>Individualization</c:v>
                  </c:pt>
                  <c:pt idx="22">
                    <c:v>Input</c:v>
                  </c:pt>
                  <c:pt idx="23">
                    <c:v>Intellection</c:v>
                  </c:pt>
                  <c:pt idx="24">
                    <c:v>Learner</c:v>
                  </c:pt>
                  <c:pt idx="25">
                    <c:v>Maximizer</c:v>
                  </c:pt>
                  <c:pt idx="26">
                    <c:v>Positivity</c:v>
                  </c:pt>
                  <c:pt idx="27">
                    <c:v>Relator</c:v>
                  </c:pt>
                  <c:pt idx="28">
                    <c:v>Responsibility</c:v>
                  </c:pt>
                  <c:pt idx="29">
                    <c:v>Restorative</c:v>
                  </c:pt>
                  <c:pt idx="30">
                    <c:v>Self-Assurance</c:v>
                  </c:pt>
                  <c:pt idx="31">
                    <c:v>Significance</c:v>
                  </c:pt>
                  <c:pt idx="32">
                    <c:v>Strategic</c:v>
                  </c:pt>
                  <c:pt idx="33">
                    <c:v>Woo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CA3-4B42-9B88-4CA40C481454}"/>
            </c:ext>
          </c:extLst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24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55000">
                    <a:srgbClr val="FF0000">
                      <a:lumMod val="75000"/>
                    </a:srgbClr>
                  </a:gs>
                </a:gsLst>
                <a:lin ang="7380000" scaled="0"/>
              </a:gradFill>
            </c:spPr>
          </c:marker>
          <c:dLbls>
            <c:dLbl>
              <c:idx val="0"/>
              <c:spPr>
                <a:solidFill>
                  <a:schemeClr val="bg1">
                    <a:alpha val="75000"/>
                  </a:schemeClr>
                </a:solidFill>
                <a:ln>
                  <a:noFill/>
                </a:ln>
              </c:spPr>
              <c:txPr>
                <a:bodyPr lIns="2">
                  <a:spAutoFit/>
                </a:bodyPr>
                <a:lstStyle/>
                <a:p>
                  <a:pPr>
                    <a:defRPr sz="1400" b="1" i="1"/>
                  </a:pPr>
                  <a:endParaRPr lang="en-US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7CA3-4B42-9B88-4CA40C481454}"/>
                </c:ext>
              </c:extLst>
            </c:dLbl>
            <c:spPr>
              <a:solidFill>
                <a:schemeClr val="bg1">
                  <a:alpha val="75000"/>
                </a:schemeClr>
              </a:solidFill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Self_Assessment!$D$30</c:f>
              <c:numCache>
                <c:formatCode>0%</c:formatCode>
                <c:ptCount val="1"/>
                <c:pt idx="0">
                  <c:v>-1</c:v>
                </c:pt>
              </c:numCache>
            </c:numRef>
          </c:xVal>
          <c:yVal>
            <c:numRef>
              <c:f>Self_Assessment!$E$30</c:f>
              <c:numCache>
                <c:formatCode>0%</c:formatCode>
                <c:ptCount val="1"/>
                <c:pt idx="0">
                  <c:v>-0.33333333333333337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A3-4B42-9B88-4CA40C48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408616"/>
        <c:axId val="2131770296"/>
      </c:scatterChart>
      <c:valAx>
        <c:axId val="2136408616"/>
        <c:scaling>
          <c:orientation val="minMax"/>
          <c:max val="1"/>
          <c:min val="-1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rgbClr val="0070C0"/>
                    </a:solidFill>
                  </a:defRPr>
                </a:pPr>
                <a:r>
                  <a:rPr lang="en-US" sz="1600">
                    <a:solidFill>
                      <a:srgbClr val="0070C0"/>
                    </a:solidFill>
                  </a:rPr>
                  <a:t>PEOPLE                                                                                         TASK</a:t>
                </a:r>
              </a:p>
            </c:rich>
          </c:tx>
          <c:layout>
            <c:manualLayout>
              <c:xMode val="edge"/>
              <c:yMode val="edge"/>
              <c:x val="0.30242823384888373"/>
              <c:y val="0.96116639007568005"/>
            </c:manualLayout>
          </c:layout>
          <c:overlay val="0"/>
        </c:title>
        <c:numFmt formatCode="0.0000" sourceLinked="1"/>
        <c:majorTickMark val="none"/>
        <c:minorTickMark val="none"/>
        <c:tickLblPos val="none"/>
        <c:spPr>
          <a:ln w="25400">
            <a:solidFill>
              <a:schemeClr val="tx1"/>
            </a:solidFill>
          </a:ln>
        </c:spPr>
        <c:crossAx val="2131770296"/>
        <c:crosses val="autoZero"/>
        <c:crossBetween val="midCat"/>
        <c:majorUnit val="0.5"/>
      </c:valAx>
      <c:valAx>
        <c:axId val="2131770296"/>
        <c:scaling>
          <c:orientation val="minMax"/>
          <c:max val="1"/>
          <c:min val="-1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600">
                    <a:solidFill>
                      <a:schemeClr val="accent2"/>
                    </a:solidFill>
                  </a:defRPr>
                </a:pPr>
                <a:r>
                  <a:rPr lang="en-US" sz="1600">
                    <a:solidFill>
                      <a:schemeClr val="accent2"/>
                    </a:solidFill>
                  </a:rPr>
                  <a:t>VISION</a:t>
                </a: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r>
                  <a:rPr lang="en-US" sz="1600">
                    <a:solidFill>
                      <a:schemeClr val="accent2"/>
                    </a:solidFill>
                  </a:rPr>
                  <a:t>EXECUTION</a:t>
                </a:r>
              </a:p>
            </c:rich>
          </c:tx>
          <c:layout>
            <c:manualLayout>
              <c:xMode val="edge"/>
              <c:yMode val="edge"/>
              <c:x val="1.6608457528941058E-2"/>
              <c:y val="0.31116839094664739"/>
            </c:manualLayout>
          </c:layout>
          <c:overlay val="0"/>
        </c:title>
        <c:numFmt formatCode="0.0000" sourceLinked="1"/>
        <c:majorTickMark val="none"/>
        <c:minorTickMark val="none"/>
        <c:tickLblPos val="none"/>
        <c:spPr>
          <a:ln w="25400">
            <a:solidFill>
              <a:schemeClr val="tx1"/>
            </a:solidFill>
          </a:ln>
        </c:spPr>
        <c:crossAx val="2136408616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0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strRef>
          <c:f>Self_Assessment!$P$87</c:f>
          <c:strCache>
            <c:ptCount val="1"/>
            <c:pt idx="0">
              <c:v>Self-Assessment for Russell Crowe - Occupations</c:v>
            </c:pt>
          </c:strCache>
        </c:strRef>
      </c:tx>
      <c:layout>
        <c:manualLayout>
          <c:xMode val="edge"/>
          <c:yMode val="edge"/>
          <c:x val="8.1539708554530216E-2"/>
          <c:y val="1.8848937235446724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20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2039049417465"/>
          <c:y val="0.10967172636657413"/>
          <c:w val="0.80136895642569561"/>
          <c:h val="0.83694438122980286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diamond"/>
            <c:size val="30"/>
            <c:spPr>
              <a:noFill/>
              <a:ln w="6350">
                <a:solidFill>
                  <a:schemeClr val="tx1">
                    <a:alpha val="16000"/>
                  </a:schemeClr>
                </a:solidFill>
                <a:prstDash val="dash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A033771-29C1-AB49-A288-20B1D22C29B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DC0-6C47-A36F-1ECB654B4B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0078DE9-DEBB-D64A-9A36-0AA1E0FA039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C0-6C47-A36F-1ECB654B4BE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65D32F-4F54-A54B-9FB9-B9BD1D0B837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C0-6C47-A36F-1ECB654B4BE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4AFA16-F70B-2746-8753-B08BEF709BE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C0-6C47-A36F-1ECB654B4BE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59C312-81AB-A54F-9384-0FCCA2366E9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C0-6C47-A36F-1ECB654B4BE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0830968-12B5-8E42-BC47-CFDBE1F6E05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C0-6C47-A36F-1ECB654B4BE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9E2E21D-1538-4A4E-A7DE-EDAC5CF642A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C0-6C47-A36F-1ECB654B4BE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0AF06B-707A-C44F-835D-B876EE2F189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C0-6C47-A36F-1ECB654B4BE5}"/>
                </c:ext>
              </c:extLst>
            </c:dLbl>
            <c:dLbl>
              <c:idx val="8"/>
              <c:layout>
                <c:manualLayout>
                  <c:x val="2.7909981318853991E-3"/>
                  <c:y val="-3.3478893740902474E-2"/>
                </c:manualLayout>
              </c:layout>
              <c:tx>
                <c:rich>
                  <a:bodyPr/>
                  <a:lstStyle/>
                  <a:p>
                    <a:fld id="{236DA52B-62A1-D44C-9A67-6341F0292AD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DC0-6C47-A36F-1ECB654B4BE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4D6444-0C7D-C846-997C-BD494AF82C9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C0-6C47-A36F-1ECB654B4BE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8C73115-BED9-6349-A7B7-2F773F7CDC7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C0-6C47-A36F-1ECB654B4BE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D86C2C3-752E-B545-8E61-B2377CB9B3E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C0-6C47-A36F-1ECB654B4BE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41874F7-B31C-4944-A03A-DD63861BCE6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C0-6C47-A36F-1ECB654B4BE5}"/>
                </c:ext>
              </c:extLst>
            </c:dLbl>
            <c:spPr>
              <a:solidFill>
                <a:srgbClr val="FFFFFF">
                  <a:alpha val="21961"/>
                </a:srgb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1">
                    <a:solidFill>
                      <a:schemeClr val="accent2">
                        <a:lumMod val="60000"/>
                        <a:lumOff val="40000"/>
                      </a:schemeClr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Self_Assessment!$Q$99:$Q$111</c:f>
              <c:numCache>
                <c:formatCode>0.000</c:formatCode>
                <c:ptCount val="13"/>
                <c:pt idx="0">
                  <c:v>0.80839456818291078</c:v>
                </c:pt>
                <c:pt idx="1">
                  <c:v>0.33484798304811858</c:v>
                </c:pt>
                <c:pt idx="2">
                  <c:v>-0.33484800630641454</c:v>
                </c:pt>
                <c:pt idx="3">
                  <c:v>-0.80839458285465382</c:v>
                </c:pt>
                <c:pt idx="4">
                  <c:v>-0.80839461556556635</c:v>
                </c:pt>
                <c:pt idx="5">
                  <c:v>-0.33484800372969403</c:v>
                </c:pt>
                <c:pt idx="6">
                  <c:v>0.33484805121970407</c:v>
                </c:pt>
                <c:pt idx="7">
                  <c:v>0.8083945881229242</c:v>
                </c:pt>
                <c:pt idx="8">
                  <c:v>-8.7150673028313256E-9</c:v>
                </c:pt>
                <c:pt idx="9">
                  <c:v>0.35355336458126913</c:v>
                </c:pt>
                <c:pt idx="10" formatCode="General">
                  <c:v>-0.35355343438686221</c:v>
                </c:pt>
                <c:pt idx="11" formatCode="General">
                  <c:v>-0.35355341753861513</c:v>
                </c:pt>
                <c:pt idx="12" formatCode="General">
                  <c:v>0.35355334521853282</c:v>
                </c:pt>
              </c:numCache>
            </c:numRef>
          </c:xVal>
          <c:yVal>
            <c:numRef>
              <c:f>Self_Assessment!$R$99:$R$111</c:f>
              <c:numCache>
                <c:formatCode>0.000</c:formatCode>
                <c:ptCount val="13"/>
                <c:pt idx="0">
                  <c:v>0.33484804987530042</c:v>
                </c:pt>
                <c:pt idx="1">
                  <c:v>0.80839458522681473</c:v>
                </c:pt>
                <c:pt idx="2">
                  <c:v>0.80839458016322685</c:v>
                </c:pt>
                <c:pt idx="3">
                  <c:v>0.33484803027556087</c:v>
                </c:pt>
                <c:pt idx="4">
                  <c:v>-0.3348480269222554</c:v>
                </c:pt>
                <c:pt idx="5">
                  <c:v>-0.808394626799812</c:v>
                </c:pt>
                <c:pt idx="6">
                  <c:v>-0.80839455005677863</c:v>
                </c:pt>
                <c:pt idx="7">
                  <c:v>-0.33484801893579691</c:v>
                </c:pt>
                <c:pt idx="8">
                  <c:v>-1.8186427927314173E-8</c:v>
                </c:pt>
                <c:pt idx="9">
                  <c:v>0.3535533553134762</c:v>
                </c:pt>
                <c:pt idx="10" formatCode="General">
                  <c:v>0.35355338501366723</c:v>
                </c:pt>
                <c:pt idx="11" formatCode="General">
                  <c:v>-0.35355334825421841</c:v>
                </c:pt>
                <c:pt idx="12" formatCode="General">
                  <c:v>-0.35355340845198147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Self_Assessment!$P$99:$P$111</c15:f>
                <c15:dlblRangeCache>
                  <c:ptCount val="13"/>
                  <c:pt idx="0">
                    <c:v>Architect</c:v>
                  </c:pt>
                  <c:pt idx="1">
                    <c:v>Philosopher</c:v>
                  </c:pt>
                  <c:pt idx="2">
                    <c:v>Politician</c:v>
                  </c:pt>
                  <c:pt idx="3">
                    <c:v>Philanthropist</c:v>
                  </c:pt>
                  <c:pt idx="4">
                    <c:v>Actor</c:v>
                  </c:pt>
                  <c:pt idx="5">
                    <c:v>Salesman</c:v>
                  </c:pt>
                  <c:pt idx="6">
                    <c:v>Builder</c:v>
                  </c:pt>
                  <c:pt idx="7">
                    <c:v>Farmer</c:v>
                  </c:pt>
                  <c:pt idx="8">
                    <c:v>Generalist</c:v>
                  </c:pt>
                  <c:pt idx="9">
                    <c:v>Scientist</c:v>
                  </c:pt>
                  <c:pt idx="10">
                    <c:v>Lawyer</c:v>
                  </c:pt>
                  <c:pt idx="11">
                    <c:v>Teacher</c:v>
                  </c:pt>
                  <c:pt idx="12">
                    <c:v>Cook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FDC0-6C47-A36F-1ECB654B4BE5}"/>
            </c:ext>
          </c:extLst>
        </c:ser>
        <c:ser>
          <c:idx val="1"/>
          <c:order val="1"/>
          <c:spPr>
            <a:ln w="4762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55000">
                    <a:srgbClr val="FF0000">
                      <a:lumMod val="75000"/>
                    </a:srgbClr>
                  </a:gs>
                </a:gsLst>
                <a:lin ang="7380000" scaled="0"/>
              </a:gradFill>
            </c:spPr>
          </c:marker>
          <c:dLbls>
            <c:dLbl>
              <c:idx val="0"/>
              <c:spPr>
                <a:solidFill>
                  <a:schemeClr val="bg1">
                    <a:alpha val="75000"/>
                  </a:schemeClr>
                </a:solidFill>
                <a:ln>
                  <a:noFill/>
                </a:ln>
              </c:spPr>
              <c:txPr>
                <a:bodyPr lIns="2">
                  <a:spAutoFit/>
                </a:bodyPr>
                <a:lstStyle/>
                <a:p>
                  <a:pPr>
                    <a:defRPr sz="1400" b="1" i="1"/>
                  </a:pPr>
                  <a:endParaRPr lang="en-US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3-FDC0-6C47-A36F-1ECB654B4BE5}"/>
                </c:ext>
              </c:extLst>
            </c:dLbl>
            <c:spPr>
              <a:solidFill>
                <a:schemeClr val="bg1">
                  <a:alpha val="75000"/>
                </a:schemeClr>
              </a:solidFill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Self_Assessment!$D$30</c:f>
              <c:numCache>
                <c:formatCode>0%</c:formatCode>
                <c:ptCount val="1"/>
                <c:pt idx="0">
                  <c:v>-1</c:v>
                </c:pt>
              </c:numCache>
            </c:numRef>
          </c:xVal>
          <c:yVal>
            <c:numRef>
              <c:f>Self_Assessment!$E$30</c:f>
              <c:numCache>
                <c:formatCode>0%</c:formatCode>
                <c:ptCount val="1"/>
                <c:pt idx="0">
                  <c:v>-0.33333333333333337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DC0-6C47-A36F-1ECB654B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408616"/>
        <c:axId val="2131770296"/>
      </c:scatterChart>
      <c:valAx>
        <c:axId val="2136408616"/>
        <c:scaling>
          <c:orientation val="minMax"/>
          <c:max val="1"/>
          <c:min val="-1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rgbClr val="0070C0"/>
                    </a:solidFill>
                  </a:defRPr>
                </a:pPr>
                <a:r>
                  <a:rPr lang="en-US" sz="1600">
                    <a:solidFill>
                      <a:srgbClr val="0070C0"/>
                    </a:solidFill>
                  </a:rPr>
                  <a:t>PEOPLE                                                                                         TASK</a:t>
                </a:r>
              </a:p>
            </c:rich>
          </c:tx>
          <c:layout>
            <c:manualLayout>
              <c:xMode val="edge"/>
              <c:yMode val="edge"/>
              <c:x val="0.30242823384888373"/>
              <c:y val="0.96116639007568005"/>
            </c:manualLayout>
          </c:layout>
          <c:overlay val="0"/>
        </c:title>
        <c:numFmt formatCode="0.000" sourceLinked="1"/>
        <c:majorTickMark val="none"/>
        <c:minorTickMark val="none"/>
        <c:tickLblPos val="none"/>
        <c:spPr>
          <a:ln w="25400">
            <a:solidFill>
              <a:schemeClr val="tx1"/>
            </a:solidFill>
          </a:ln>
        </c:spPr>
        <c:crossAx val="2131770296"/>
        <c:crosses val="autoZero"/>
        <c:crossBetween val="midCat"/>
        <c:majorUnit val="0.5"/>
      </c:valAx>
      <c:valAx>
        <c:axId val="2131770296"/>
        <c:scaling>
          <c:orientation val="minMax"/>
          <c:max val="1"/>
          <c:min val="-1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600">
                    <a:solidFill>
                      <a:schemeClr val="accent2"/>
                    </a:solidFill>
                  </a:defRPr>
                </a:pPr>
                <a:r>
                  <a:rPr lang="en-US" sz="1600">
                    <a:solidFill>
                      <a:schemeClr val="accent2"/>
                    </a:solidFill>
                  </a:rPr>
                  <a:t>VISION</a:t>
                </a: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endParaRPr lang="en-US" sz="1600">
                  <a:solidFill>
                    <a:schemeClr val="accent2"/>
                  </a:solidFill>
                </a:endParaRPr>
              </a:p>
              <a:p>
                <a:pPr>
                  <a:defRPr sz="1600">
                    <a:solidFill>
                      <a:schemeClr val="accent2"/>
                    </a:solidFill>
                  </a:defRPr>
                </a:pPr>
                <a:r>
                  <a:rPr lang="en-US" sz="1600">
                    <a:solidFill>
                      <a:schemeClr val="accent2"/>
                    </a:solidFill>
                  </a:rPr>
                  <a:t>EXECUTION</a:t>
                </a:r>
              </a:p>
            </c:rich>
          </c:tx>
          <c:layout>
            <c:manualLayout>
              <c:xMode val="edge"/>
              <c:yMode val="edge"/>
              <c:x val="1.6608457528941058E-2"/>
              <c:y val="0.31116839094664739"/>
            </c:manualLayout>
          </c:layout>
          <c:overlay val="0"/>
        </c:title>
        <c:numFmt formatCode="0.000" sourceLinked="1"/>
        <c:majorTickMark val="none"/>
        <c:minorTickMark val="none"/>
        <c:tickLblPos val="none"/>
        <c:spPr>
          <a:ln w="25400">
            <a:solidFill>
              <a:schemeClr val="tx1"/>
            </a:solidFill>
          </a:ln>
        </c:spPr>
        <c:crossAx val="2136408616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0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12323459567552"/>
          <c:y val="2.1660649819494584E-2"/>
          <c:w val="0.84820968807470498"/>
          <c:h val="0.8961882185501459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F441D2C-71E1-EF47-A705-0B8CB030145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3EE-424C-8301-AED28A83E3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E1CA60-F164-2444-B8B1-89A3052CC97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3EE-424C-8301-AED28A83E3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0152F1-990E-9A48-98C9-6D8981A154B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3EE-424C-8301-AED28A83E3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726FF9-26FF-9F4A-9A5B-AA70240B35A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3EE-424C-8301-AED28A83E3C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E95FA13-956B-A041-98DF-49EBCA26096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3EE-424C-8301-AED28A83E3C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1EA31F7-9EF2-814E-9319-46CCE90429F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3EE-424C-8301-AED28A83E3C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048A65B-AEF4-9A4E-88C2-58AD4645949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3EE-424C-8301-AED28A83E3C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7050FF6-3E3E-4C47-82E9-C10E41C6C59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3EE-424C-8301-AED28A83E3C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F27C60D-4FE9-074B-B678-6538FB91201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3EE-424C-8301-AED28A83E3C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257F7C8-A1DE-A241-98E7-0CD309FAF08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3EE-424C-8301-AED28A83E3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'Team Analysis'!$D$12:$D$21</c:f>
              <c:numCache>
                <c:formatCode>0%</c:formatCode>
                <c:ptCount val="10"/>
                <c:pt idx="0">
                  <c:v>-1</c:v>
                </c:pt>
                <c:pt idx="1">
                  <c:v>-0.19</c:v>
                </c:pt>
                <c:pt idx="2">
                  <c:v>0.33</c:v>
                </c:pt>
                <c:pt idx="3">
                  <c:v>-0.97</c:v>
                </c:pt>
                <c:pt idx="4">
                  <c:v>-0.82</c:v>
                </c:pt>
                <c:pt idx="5">
                  <c:v>0.47</c:v>
                </c:pt>
                <c:pt idx="6">
                  <c:v>-0.96</c:v>
                </c:pt>
                <c:pt idx="7">
                  <c:v>0.97</c:v>
                </c:pt>
                <c:pt idx="8">
                  <c:v>0.16</c:v>
                </c:pt>
                <c:pt idx="9">
                  <c:v>-0.81</c:v>
                </c:pt>
              </c:numCache>
            </c:numRef>
          </c:xVal>
          <c:yVal>
            <c:numRef>
              <c:f>'Team Analysis'!$E$12:$E$21</c:f>
              <c:numCache>
                <c:formatCode>0%</c:formatCode>
                <c:ptCount val="10"/>
                <c:pt idx="0">
                  <c:v>-0.33</c:v>
                </c:pt>
                <c:pt idx="1">
                  <c:v>-0.93</c:v>
                </c:pt>
                <c:pt idx="2">
                  <c:v>0.52</c:v>
                </c:pt>
                <c:pt idx="3">
                  <c:v>0.46</c:v>
                </c:pt>
                <c:pt idx="4">
                  <c:v>0.23</c:v>
                </c:pt>
                <c:pt idx="5">
                  <c:v>-0.9</c:v>
                </c:pt>
                <c:pt idx="6">
                  <c:v>0.74</c:v>
                </c:pt>
                <c:pt idx="7">
                  <c:v>0.39</c:v>
                </c:pt>
                <c:pt idx="8">
                  <c:v>0.89</c:v>
                </c:pt>
                <c:pt idx="9">
                  <c:v>7.0000000000000007E-2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'Team Analysis'!$C$12:$C$21</c15:f>
                <c15:dlblRangeCache>
                  <c:ptCount val="10"/>
                  <c:pt idx="0">
                    <c:v>Russell Crowe</c:v>
                  </c:pt>
                  <c:pt idx="1">
                    <c:v>Alaiya Anderson</c:v>
                  </c:pt>
                  <c:pt idx="2">
                    <c:v>Oakleigh Davis</c:v>
                  </c:pt>
                  <c:pt idx="3">
                    <c:v>Ainhoa Garcia</c:v>
                  </c:pt>
                  <c:pt idx="4">
                    <c:v>Salem Harris</c:v>
                  </c:pt>
                  <c:pt idx="5">
                    <c:v>Lyanna Jackson</c:v>
                  </c:pt>
                  <c:pt idx="6">
                    <c:v>Kaisley Martin</c:v>
                  </c:pt>
                  <c:pt idx="7">
                    <c:v>Liam Moore</c:v>
                  </c:pt>
                  <c:pt idx="8">
                    <c:v>Noah Taylor</c:v>
                  </c:pt>
                  <c:pt idx="9">
                    <c:v>William Thomas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3EE-424C-8301-AED28A83E3C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1" i="1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64FDA79-E1BB-6D41-9766-681EFB269879}" type="CELLRANGE">
                      <a:rPr lang="en-US" sz="2000">
                        <a:solidFill>
                          <a:schemeClr val="accent1"/>
                        </a:solidFill>
                      </a:rPr>
                      <a:pPr>
                        <a:defRPr sz="2000">
                          <a:solidFill>
                            <a:schemeClr val="accent1"/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1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3EE-424C-8301-AED28A83E3C4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1" i="1" u="none" strike="noStrike" kern="120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2D870F-561F-CE4E-95B4-C518E22289DB}" type="CELLRANGE">
                      <a:rPr lang="en-GB"/>
                      <a:pPr>
                        <a:defRPr sz="2000">
                          <a:solidFill>
                            <a:schemeClr val="accent3"/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1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3EE-424C-8301-AED28A83E3C4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1" i="1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BAA11D9-E1EF-224B-8534-BDFD3C1AE605}" type="CELLRANGE">
                      <a:rPr lang="en-GB"/>
                      <a:pPr>
                        <a:defRPr sz="2000">
                          <a:solidFill>
                            <a:schemeClr val="accent2"/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1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3EE-424C-8301-AED28A83E3C4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1" i="1" u="none" strike="noStrike" kern="1200" baseline="0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65D55AA-B76D-974C-BC67-EBBD1DC16721}" type="CELLRANGE">
                      <a:rPr lang="en-GB"/>
                      <a:pPr>
                        <a:defRPr sz="200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1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3EE-424C-8301-AED28A83E3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'Team Analysis'!$L$36:$O$36</c:f>
              <c:numCache>
                <c:formatCode>0%</c:formatCode>
                <c:ptCount val="4"/>
                <c:pt idx="0">
                  <c:v>0.45</c:v>
                </c:pt>
                <c:pt idx="1">
                  <c:v>-0.45</c:v>
                </c:pt>
                <c:pt idx="2">
                  <c:v>-0.45</c:v>
                </c:pt>
                <c:pt idx="3">
                  <c:v>0.45</c:v>
                </c:pt>
              </c:numCache>
            </c:numRef>
          </c:xVal>
          <c:yVal>
            <c:numRef>
              <c:f>'Team Analysis'!$L$37:$O$37</c:f>
              <c:numCache>
                <c:formatCode>0%</c:formatCode>
                <c:ptCount val="4"/>
                <c:pt idx="0">
                  <c:v>0.45</c:v>
                </c:pt>
                <c:pt idx="1">
                  <c:v>0.45</c:v>
                </c:pt>
                <c:pt idx="2">
                  <c:v>-0.45</c:v>
                </c:pt>
                <c:pt idx="3">
                  <c:v>-0.45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'Team Analysis'!$L$39:$O$39</c15:f>
                <c15:dlblRangeCache>
                  <c:ptCount val="4"/>
                  <c:pt idx="0">
                    <c:v>Task+Vision</c:v>
                  </c:pt>
                  <c:pt idx="1">
                    <c:v>People+Vision</c:v>
                  </c:pt>
                  <c:pt idx="2">
                    <c:v>People+Execution</c:v>
                  </c:pt>
                  <c:pt idx="3">
                    <c:v>Task+Execution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13EE-424C-8301-AED28A83E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641968"/>
        <c:axId val="1756024320"/>
      </c:scatterChart>
      <c:valAx>
        <c:axId val="2085641968"/>
        <c:scaling>
          <c:orientation val="minMax"/>
          <c:max val="1.1000000000000001"/>
          <c:min val="-1.100000000000000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PEOPLE                                                                                        TASK</a:t>
                </a:r>
              </a:p>
            </c:rich>
          </c:tx>
          <c:layout>
            <c:manualLayout>
              <c:xMode val="edge"/>
              <c:yMode val="edge"/>
              <c:x val="0.27504213758994411"/>
              <c:y val="0.9319333850874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24320"/>
        <c:crosses val="autoZero"/>
        <c:crossBetween val="midCat"/>
      </c:valAx>
      <c:valAx>
        <c:axId val="1756024320"/>
        <c:scaling>
          <c:orientation val="minMax"/>
          <c:max val="1.1000000000000001"/>
          <c:min val="-1.1000000000000001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VISION</a:t>
                </a:r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endParaRPr lang="en-GB"/>
              </a:p>
              <a:p>
                <a:pPr>
                  <a:defRPr/>
                </a:pPr>
                <a:r>
                  <a:rPr lang="en-GB"/>
                  <a:t>EXECUTION</a:t>
                </a:r>
              </a:p>
            </c:rich>
          </c:tx>
          <c:layout>
            <c:manualLayout>
              <c:xMode val="edge"/>
              <c:yMode val="edge"/>
              <c:x val="1.4724141625153999E-2"/>
              <c:y val="0.26345782041329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641968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1"/>
        <c:ser>
          <c:idx val="0"/>
          <c:order val="0"/>
          <c:spPr>
            <a:gradFill>
              <a:gsLst>
                <a:gs pos="100000">
                  <a:schemeClr val="bg1">
                    <a:lumMod val="85000"/>
                  </a:schemeClr>
                </a:gs>
                <a:gs pos="0">
                  <a:schemeClr val="tx1">
                    <a:lumMod val="85000"/>
                    <a:lumOff val="15000"/>
                  </a:schemeClr>
                </a:gs>
              </a:gsLst>
              <a:lin ang="7200000" scaled="0"/>
            </a:gradFill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chemeClr val="accent1">
                      <a:lumMod val="20000"/>
                      <a:lumOff val="80000"/>
                    </a:schemeClr>
                  </a:gs>
                  <a:gs pos="0">
                    <a:schemeClr val="accent1">
                      <a:lumMod val="75000"/>
                    </a:schemeClr>
                  </a:gs>
                </a:gsLst>
                <a:lin ang="72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92-C544-A8F6-27753D3D02DD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100000">
                    <a:schemeClr val="accent3">
                      <a:lumMod val="20000"/>
                      <a:lumOff val="80000"/>
                    </a:schemeClr>
                  </a:gs>
                  <a:gs pos="0">
                    <a:schemeClr val="accent3">
                      <a:lumMod val="75000"/>
                    </a:schemeClr>
                  </a:gs>
                </a:gsLst>
                <a:lin ang="72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92-C544-A8F6-27753D3D02DD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00000">
                    <a:schemeClr val="accent2">
                      <a:lumMod val="20000"/>
                      <a:lumOff val="80000"/>
                    </a:schemeClr>
                  </a:gs>
                  <a:gs pos="0">
                    <a:schemeClr val="accent2">
                      <a:lumMod val="75000"/>
                    </a:schemeClr>
                  </a:gs>
                </a:gsLst>
                <a:lin ang="72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92-C544-A8F6-27753D3D02DD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00000">
                    <a:schemeClr val="bg1">
                      <a:lumMod val="85000"/>
                    </a:schemeClr>
                  </a:gs>
                  <a:gs pos="0">
                    <a:schemeClr val="tx1">
                      <a:lumMod val="85000"/>
                      <a:lumOff val="15000"/>
                    </a:schemeClr>
                  </a:gs>
                </a:gsLst>
                <a:lin ang="7200000" scaled="0"/>
              </a:gradFill>
              <a:ln>
                <a:noFill/>
              </a:ln>
              <a:effectLst/>
            </c:spPr>
          </c:dPt>
          <c:xVal>
            <c:numRef>
              <c:f>'Team Analysis'!$L$36:$O$36</c:f>
              <c:numCache>
                <c:formatCode>0%</c:formatCode>
                <c:ptCount val="4"/>
                <c:pt idx="0">
                  <c:v>0.45</c:v>
                </c:pt>
                <c:pt idx="1">
                  <c:v>-0.45</c:v>
                </c:pt>
                <c:pt idx="2">
                  <c:v>-0.45</c:v>
                </c:pt>
                <c:pt idx="3">
                  <c:v>0.45</c:v>
                </c:pt>
              </c:numCache>
            </c:numRef>
          </c:xVal>
          <c:yVal>
            <c:numRef>
              <c:f>'Team Analysis'!$L$37:$O$37</c:f>
              <c:numCache>
                <c:formatCode>0%</c:formatCode>
                <c:ptCount val="4"/>
                <c:pt idx="0">
                  <c:v>0.45</c:v>
                </c:pt>
                <c:pt idx="1">
                  <c:v>0.45</c:v>
                </c:pt>
                <c:pt idx="2">
                  <c:v>-0.45</c:v>
                </c:pt>
                <c:pt idx="3">
                  <c:v>-0.45</c:v>
                </c:pt>
              </c:numCache>
            </c:numRef>
          </c:yVal>
          <c:bubbleSize>
            <c:numRef>
              <c:f>'Team Analysis'!$L$38:$O$38</c:f>
              <c:numCache>
                <c:formatCode>0.000</c:formatCode>
                <c:ptCount val="4"/>
                <c:pt idx="0">
                  <c:v>0.91508082934658119</c:v>
                </c:pt>
                <c:pt idx="1">
                  <c:v>4.63969297448386</c:v>
                </c:pt>
                <c:pt idx="2">
                  <c:v>0.80114071940930365</c:v>
                </c:pt>
                <c:pt idx="3">
                  <c:v>0.74663976927659415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27C-3242-98CC-D9AE4DE92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40"/>
        <c:showNegBubbles val="0"/>
        <c:axId val="1274697856"/>
        <c:axId val="1761080416"/>
      </c:bubbleChart>
      <c:valAx>
        <c:axId val="127469785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761080416"/>
        <c:crosses val="autoZero"/>
        <c:crossBetween val="midCat"/>
      </c:valAx>
      <c:valAx>
        <c:axId val="176108041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74697856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'Team Analysis'!$O$39</c:f>
          <c:strCache>
            <c:ptCount val="1"/>
            <c:pt idx="0">
              <c:v>Task+Execution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>
              <a:gsLst>
                <a:gs pos="100000">
                  <a:schemeClr val="bg1">
                    <a:lumMod val="85000"/>
                  </a:schemeClr>
                </a:gs>
                <a:gs pos="0">
                  <a:schemeClr val="tx1">
                    <a:lumMod val="85000"/>
                    <a:lumOff val="15000"/>
                  </a:schemeClr>
                </a:gs>
              </a:gsLst>
              <a:lin ang="7200000" scaled="0"/>
            </a:gradFill>
            <a:ln>
              <a:noFill/>
            </a:ln>
            <a:effectLst/>
          </c:spPr>
          <c:invertIfNegative val="0"/>
          <c:cat>
            <c:strRef>
              <c:f>'Team Analysis'!$Z$45:$Z$54</c:f>
              <c:strCache>
                <c:ptCount val="10"/>
                <c:pt idx="0">
                  <c:v>Lyanna Jackson</c:v>
                </c:pt>
                <c:pt idx="1">
                  <c:v>Alaiya Anderson</c:v>
                </c:pt>
                <c:pt idx="2">
                  <c:v>Liam Moore</c:v>
                </c:pt>
                <c:pt idx="3">
                  <c:v>Oakleigh Davis</c:v>
                </c:pt>
                <c:pt idx="4">
                  <c:v>Noah Taylor</c:v>
                </c:pt>
                <c:pt idx="5">
                  <c:v>William Thomas</c:v>
                </c:pt>
                <c:pt idx="6">
                  <c:v>Russell Crowe</c:v>
                </c:pt>
                <c:pt idx="7">
                  <c:v>Salem Harris</c:v>
                </c:pt>
                <c:pt idx="8">
                  <c:v>Ainhoa Garcia</c:v>
                </c:pt>
                <c:pt idx="9">
                  <c:v>Kaisley Martin</c:v>
                </c:pt>
              </c:strCache>
            </c:strRef>
          </c:cat>
          <c:val>
            <c:numRef>
              <c:f>'Team Analysis'!$AA$45:$AA$54</c:f>
              <c:numCache>
                <c:formatCode>0.000</c:formatCode>
                <c:ptCount val="10"/>
                <c:pt idx="0">
                  <c:v>5.4083288263926432</c:v>
                </c:pt>
                <c:pt idx="1">
                  <c:v>0.84104289318755254</c:v>
                </c:pt>
                <c:pt idx="2">
                  <c:v>0.59916117435590177</c:v>
                </c:pt>
                <c:pt idx="3">
                  <c:v>0.42711314227138769</c:v>
                </c:pt>
                <c:pt idx="4">
                  <c:v>0.26654583255590797</c:v>
                </c:pt>
                <c:pt idx="5">
                  <c:v>0.25873221216041398</c:v>
                </c:pt>
                <c:pt idx="6">
                  <c:v>0.25413606444890596</c:v>
                </c:pt>
                <c:pt idx="7">
                  <c:v>0.23611078317946776</c:v>
                </c:pt>
                <c:pt idx="8">
                  <c:v>0.18703824932198632</c:v>
                </c:pt>
                <c:pt idx="9">
                  <c:v>0.16262278019905027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A-2E4A-8495-20D0844E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0059600"/>
        <c:axId val="1753262096"/>
      </c:barChart>
      <c:catAx>
        <c:axId val="2090059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62096"/>
        <c:crosses val="autoZero"/>
        <c:auto val="1"/>
        <c:lblAlgn val="ctr"/>
        <c:lblOffset val="100"/>
        <c:noMultiLvlLbl val="0"/>
      </c:catAx>
      <c:valAx>
        <c:axId val="1753262096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5960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People+Execution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>
              <a:gsLst>
                <a:gs pos="100000">
                  <a:srgbClr val="C0504D">
                    <a:lumMod val="20000"/>
                    <a:lumOff val="80000"/>
                  </a:srgbClr>
                </a:gs>
                <a:gs pos="0">
                  <a:srgbClr val="C0504D">
                    <a:lumMod val="75000"/>
                  </a:srgbClr>
                </a:gs>
              </a:gsLst>
              <a:lin ang="7200000" scaled="0"/>
            </a:gradFill>
            <a:ln>
              <a:noFill/>
            </a:ln>
            <a:effectLst/>
          </c:spPr>
          <c:invertIfNegative val="0"/>
          <c:cat>
            <c:strRef>
              <c:f>'Team Analysis'!$V$45:$V$54</c:f>
              <c:strCache>
                <c:ptCount val="10"/>
                <c:pt idx="0">
                  <c:v>Russell Crowe</c:v>
                </c:pt>
                <c:pt idx="1">
                  <c:v>Alaiya Anderson</c:v>
                </c:pt>
                <c:pt idx="2">
                  <c:v>William Thomas</c:v>
                </c:pt>
                <c:pt idx="3">
                  <c:v>Salem Harris</c:v>
                </c:pt>
                <c:pt idx="4">
                  <c:v>Ainhoa Garcia</c:v>
                </c:pt>
                <c:pt idx="5">
                  <c:v>Lyanna Jackson</c:v>
                </c:pt>
                <c:pt idx="6">
                  <c:v>Kaisley Martin</c:v>
                </c:pt>
                <c:pt idx="7">
                  <c:v>Oakleigh Davis</c:v>
                </c:pt>
                <c:pt idx="8">
                  <c:v>Noah Taylor</c:v>
                </c:pt>
                <c:pt idx="9">
                  <c:v>Liam Moore</c:v>
                </c:pt>
              </c:strCache>
            </c:strRef>
          </c:cat>
          <c:val>
            <c:numRef>
              <c:f>'Team Analysis'!$W$45:$W$54</c:f>
              <c:numCache>
                <c:formatCode>0.000</c:formatCode>
                <c:ptCount val="10"/>
                <c:pt idx="0">
                  <c:v>2.9859659599880555</c:v>
                </c:pt>
                <c:pt idx="1">
                  <c:v>1.9801980198019802</c:v>
                </c:pt>
                <c:pt idx="2">
                  <c:v>1.053740779768177</c:v>
                </c:pt>
                <c:pt idx="3">
                  <c:v>0.77924101924725298</c:v>
                </c:pt>
                <c:pt idx="4">
                  <c:v>0.539228902669183</c:v>
                </c:pt>
                <c:pt idx="5">
                  <c:v>0.53279343598486861</c:v>
                </c:pt>
                <c:pt idx="6">
                  <c:v>0.37130551017377089</c:v>
                </c:pt>
                <c:pt idx="7">
                  <c:v>0.28334230583968489</c:v>
                </c:pt>
                <c:pt idx="8">
                  <c:v>0.23106962127689074</c:v>
                </c:pt>
                <c:pt idx="9">
                  <c:v>0.19376089905057159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A-2E4A-8495-20D0844E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0059600"/>
        <c:axId val="1753262096"/>
      </c:barChart>
      <c:catAx>
        <c:axId val="2090059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62096"/>
        <c:crosses val="autoZero"/>
        <c:auto val="1"/>
        <c:lblAlgn val="ctr"/>
        <c:lblOffset val="100"/>
        <c:noMultiLvlLbl val="0"/>
      </c:catAx>
      <c:valAx>
        <c:axId val="1753262096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5960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People+Vision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>
              <a:gsLst>
                <a:gs pos="100000">
                  <a:srgbClr val="9BBB59">
                    <a:lumMod val="40000"/>
                    <a:lumOff val="60000"/>
                  </a:srgbClr>
                </a:gs>
                <a:gs pos="0">
                  <a:srgbClr val="9BBB59">
                    <a:lumMod val="75000"/>
                  </a:srgbClr>
                </a:gs>
              </a:gsLst>
              <a:lin ang="7200000" scaled="0"/>
            </a:gradFill>
            <a:ln>
              <a:noFill/>
            </a:ln>
            <a:effectLst/>
          </c:spPr>
          <c:invertIfNegative val="0"/>
          <c:cat>
            <c:strRef>
              <c:f>'Team Analysis'!$V$30:$V$39</c:f>
              <c:strCache>
                <c:ptCount val="10"/>
                <c:pt idx="0">
                  <c:v>Kaisley Martin</c:v>
                </c:pt>
                <c:pt idx="1">
                  <c:v>Ainhoa Garcia</c:v>
                </c:pt>
                <c:pt idx="2">
                  <c:v>Salem Harris</c:v>
                </c:pt>
                <c:pt idx="3">
                  <c:v>William Thomas</c:v>
                </c:pt>
                <c:pt idx="4">
                  <c:v>Noah Taylor</c:v>
                </c:pt>
                <c:pt idx="5">
                  <c:v>Russell Crowe</c:v>
                </c:pt>
                <c:pt idx="6">
                  <c:v>Oakleigh Davis</c:v>
                </c:pt>
                <c:pt idx="7">
                  <c:v>Liam Moore</c:v>
                </c:pt>
                <c:pt idx="8">
                  <c:v>Alaiya Anderson</c:v>
                </c:pt>
                <c:pt idx="9">
                  <c:v>Lyanna Jackson</c:v>
                </c:pt>
              </c:strCache>
            </c:strRef>
          </c:cat>
          <c:val>
            <c:numRef>
              <c:f>'Team Analysis'!$W$30:$W$39</c:f>
              <c:numCache>
                <c:formatCode>0.000</c:formatCode>
                <c:ptCount val="10"/>
                <c:pt idx="0">
                  <c:v>10</c:v>
                </c:pt>
                <c:pt idx="1">
                  <c:v>5.037783375314862</c:v>
                </c:pt>
                <c:pt idx="2">
                  <c:v>2.1963540522732261</c:v>
                </c:pt>
                <c:pt idx="3">
                  <c:v>1.4347202295552366</c:v>
                </c:pt>
                <c:pt idx="4">
                  <c:v>0.88991723769689413</c:v>
                </c:pt>
                <c:pt idx="5">
                  <c:v>0.65664193315385122</c:v>
                </c:pt>
                <c:pt idx="6">
                  <c:v>0.60339105774452417</c:v>
                </c:pt>
                <c:pt idx="7">
                  <c:v>0.26616981634282666</c:v>
                </c:pt>
                <c:pt idx="8">
                  <c:v>0.2595380223202699</c:v>
                </c:pt>
                <c:pt idx="9" formatCode="General">
                  <c:v>0.19543082725869176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A-2E4A-8495-20D0844E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0059600"/>
        <c:axId val="1753262096"/>
      </c:barChart>
      <c:catAx>
        <c:axId val="2090059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62096"/>
        <c:crosses val="autoZero"/>
        <c:auto val="1"/>
        <c:lblAlgn val="ctr"/>
        <c:lblOffset val="100"/>
        <c:noMultiLvlLbl val="0"/>
      </c:catAx>
      <c:valAx>
        <c:axId val="1753262096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5960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Task+Vision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>
              <a:gsLst>
                <a:gs pos="10000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lumMod val="75000"/>
                  </a:schemeClr>
                </a:gs>
              </a:gsLst>
              <a:lin ang="7200000" scaled="0"/>
            </a:gradFill>
            <a:ln>
              <a:noFill/>
            </a:ln>
            <a:effectLst/>
          </c:spPr>
          <c:invertIfNegative val="0"/>
          <c:cat>
            <c:strRef>
              <c:f>'Team Analysis'!$Z$30:$Z$39</c:f>
              <c:strCache>
                <c:ptCount val="10"/>
                <c:pt idx="0">
                  <c:v>Liam Moore</c:v>
                </c:pt>
                <c:pt idx="1">
                  <c:v>Oakleigh Davis</c:v>
                </c:pt>
                <c:pt idx="2">
                  <c:v>Noah Taylor</c:v>
                </c:pt>
                <c:pt idx="3">
                  <c:v>Salem Harris</c:v>
                </c:pt>
                <c:pt idx="4">
                  <c:v>Lyanna Jackson</c:v>
                </c:pt>
                <c:pt idx="5">
                  <c:v>Kaisley Martin</c:v>
                </c:pt>
                <c:pt idx="6">
                  <c:v>William Thomas</c:v>
                </c:pt>
                <c:pt idx="7">
                  <c:v>Ainhoa Garcia</c:v>
                </c:pt>
                <c:pt idx="8">
                  <c:v>Alaiya Anderson</c:v>
                </c:pt>
                <c:pt idx="9">
                  <c:v>Russell Crowe</c:v>
                </c:pt>
              </c:strCache>
            </c:strRef>
          </c:cat>
          <c:val>
            <c:numRef>
              <c:f>'Team Analysis'!$AA$30:$AA$39</c:f>
              <c:numCache>
                <c:formatCode>0.000</c:formatCode>
                <c:ptCount val="10"/>
                <c:pt idx="0">
                  <c:v>3.773584905660377</c:v>
                </c:pt>
                <c:pt idx="1">
                  <c:v>2.1308331557639035</c:v>
                </c:pt>
                <c:pt idx="2">
                  <c:v>1.8258170531312763</c:v>
                </c:pt>
                <c:pt idx="3">
                  <c:v>0.29348751210635987</c:v>
                </c:pt>
                <c:pt idx="4">
                  <c:v>0.29197932786358727</c:v>
                </c:pt>
                <c:pt idx="5">
                  <c:v>0.28692757947893954</c:v>
                </c:pt>
                <c:pt idx="6">
                  <c:v>0.27677830058123448</c:v>
                </c:pt>
                <c:pt idx="7">
                  <c:v>0.27096599376778208</c:v>
                </c:pt>
                <c:pt idx="8">
                  <c:v>0.22040996253030634</c:v>
                </c:pt>
                <c:pt idx="9">
                  <c:v>0.19520193640320913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A-2E4A-8495-20D0844EF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0059600"/>
        <c:axId val="1753262096"/>
      </c:barChart>
      <c:catAx>
        <c:axId val="2090059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62096"/>
        <c:crosses val="autoZero"/>
        <c:auto val="1"/>
        <c:lblAlgn val="ctr"/>
        <c:lblOffset val="100"/>
        <c:noMultiLvlLbl val="0"/>
      </c:catAx>
      <c:valAx>
        <c:axId val="1753262096"/>
        <c:scaling>
          <c:orientation val="minMax"/>
          <c:max val="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5960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46</xdr:row>
      <xdr:rowOff>215900</xdr:rowOff>
    </xdr:from>
    <xdr:to>
      <xdr:col>4</xdr:col>
      <xdr:colOff>279400</xdr:colOff>
      <xdr:row>88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</xdr:colOff>
      <xdr:row>46</xdr:row>
      <xdr:rowOff>139700</xdr:rowOff>
    </xdr:from>
    <xdr:to>
      <xdr:col>9</xdr:col>
      <xdr:colOff>8890000</xdr:colOff>
      <xdr:row>89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3DD77-6761-7442-B7B1-B774CEB76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12700</xdr:rowOff>
    </xdr:from>
    <xdr:to>
      <xdr:col>7</xdr:col>
      <xdr:colOff>0</xdr:colOff>
      <xdr:row>79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CD7518-2F47-AA48-B1A9-A0CD78233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99</xdr:row>
      <xdr:rowOff>12700</xdr:rowOff>
    </xdr:from>
    <xdr:to>
      <xdr:col>6</xdr:col>
      <xdr:colOff>0</xdr:colOff>
      <xdr:row>122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EAE88E-FF0A-554A-9199-69AC76524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120</xdr:row>
      <xdr:rowOff>12700</xdr:rowOff>
    </xdr:from>
    <xdr:to>
      <xdr:col>8</xdr:col>
      <xdr:colOff>0</xdr:colOff>
      <xdr:row>138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AE8006-F554-B04C-9D16-7D2D12DE0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812800</xdr:colOff>
      <xdr:row>120</xdr:row>
      <xdr:rowOff>38100</xdr:rowOff>
    </xdr:from>
    <xdr:to>
      <xdr:col>4</xdr:col>
      <xdr:colOff>0</xdr:colOff>
      <xdr:row>138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2679FB-45E3-EE46-BA52-1CFDCC56C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84</xdr:row>
      <xdr:rowOff>12700</xdr:rowOff>
    </xdr:from>
    <xdr:to>
      <xdr:col>4</xdr:col>
      <xdr:colOff>0</xdr:colOff>
      <xdr:row>101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EAF940-BEEC-4E47-8AB5-EB1658F9B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84</xdr:row>
      <xdr:rowOff>12700</xdr:rowOff>
    </xdr:from>
    <xdr:to>
      <xdr:col>8</xdr:col>
      <xdr:colOff>0</xdr:colOff>
      <xdr:row>101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753576-C84F-434A-BBC6-CBEEFDD57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mazon.com.au/StrengthsFinder-2-0-Tom-Rath/dp/159562015X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26"/>
  <sheetViews>
    <sheetView tabSelected="1" zoomScaleNormal="100" workbookViewId="0">
      <selection activeCell="C30" sqref="C30"/>
    </sheetView>
  </sheetViews>
  <sheetFormatPr baseColWidth="10" defaultRowHeight="16" x14ac:dyDescent="0.2"/>
  <cols>
    <col min="1" max="1" width="6.6640625" style="19" customWidth="1"/>
    <col min="2" max="2" width="23.83203125" style="19" customWidth="1"/>
    <col min="3" max="3" width="110.6640625" style="19" customWidth="1"/>
    <col min="4" max="5" width="21.5" style="19" customWidth="1"/>
    <col min="6" max="8" width="7" style="19" customWidth="1"/>
    <col min="9" max="9" width="20" style="19" customWidth="1"/>
    <col min="10" max="10" width="147" style="19" customWidth="1"/>
    <col min="11" max="12" width="15" style="19" customWidth="1"/>
    <col min="13" max="15" width="10.83203125" style="19" hidden="1" customWidth="1"/>
    <col min="16" max="16" width="17" style="19" hidden="1" customWidth="1"/>
    <col min="17" max="18" width="14.6640625" style="19" hidden="1" customWidth="1"/>
    <col min="19" max="19" width="17.1640625" style="19" hidden="1" customWidth="1"/>
    <col min="20" max="23" width="10.83203125" style="19" hidden="1" customWidth="1"/>
    <col min="24" max="34" width="0" style="19" hidden="1" customWidth="1"/>
    <col min="35" max="16384" width="10.83203125" style="19"/>
  </cols>
  <sheetData>
    <row r="1" spans="1:14" ht="24" x14ac:dyDescent="0.3">
      <c r="A1" s="18" t="s">
        <v>246</v>
      </c>
      <c r="I1" s="18" t="s">
        <v>129</v>
      </c>
    </row>
    <row r="2" spans="1:14" ht="19" x14ac:dyDescent="0.25">
      <c r="A2" s="20" t="s">
        <v>124</v>
      </c>
    </row>
    <row r="3" spans="1:14" ht="21" x14ac:dyDescent="0.25">
      <c r="B3" s="20"/>
      <c r="I3" s="21" t="s">
        <v>134</v>
      </c>
    </row>
    <row r="4" spans="1:14" ht="19" x14ac:dyDescent="0.25">
      <c r="B4" s="22" t="s">
        <v>245</v>
      </c>
    </row>
    <row r="5" spans="1:14" ht="19" x14ac:dyDescent="0.25">
      <c r="B5" s="22" t="s">
        <v>244</v>
      </c>
    </row>
    <row r="6" spans="1:14" ht="21" x14ac:dyDescent="0.25">
      <c r="I6" s="23" t="s">
        <v>76</v>
      </c>
      <c r="J6" s="24" t="s">
        <v>230</v>
      </c>
    </row>
    <row r="7" spans="1:14" ht="19" x14ac:dyDescent="0.25">
      <c r="B7" s="22" t="s">
        <v>157</v>
      </c>
      <c r="I7" s="25" t="s">
        <v>24</v>
      </c>
      <c r="J7" s="26" t="s">
        <v>78</v>
      </c>
      <c r="M7" s="27">
        <f ca="1">Numbers!E6</f>
        <v>0.87499999567569831</v>
      </c>
      <c r="N7" s="28">
        <f ca="1">Numbers!F6</f>
        <v>-0.87499995714027956</v>
      </c>
    </row>
    <row r="8" spans="1:14" ht="19" x14ac:dyDescent="0.25">
      <c r="B8" s="22" t="s">
        <v>158</v>
      </c>
      <c r="I8" s="25" t="s">
        <v>29</v>
      </c>
      <c r="J8" s="26" t="s">
        <v>79</v>
      </c>
      <c r="M8" s="27">
        <f ca="1">Numbers!E7</f>
        <v>0.70000003902398189</v>
      </c>
      <c r="N8" s="28">
        <f ca="1">Numbers!F7</f>
        <v>-0.59999995691373087</v>
      </c>
    </row>
    <row r="9" spans="1:14" ht="19" x14ac:dyDescent="0.25">
      <c r="B9" s="29" t="s">
        <v>165</v>
      </c>
      <c r="I9" s="25" t="s">
        <v>69</v>
      </c>
      <c r="J9" s="26" t="s">
        <v>80</v>
      </c>
      <c r="M9" s="27">
        <f ca="1">Numbers!E8</f>
        <v>0.34999998495197404</v>
      </c>
      <c r="N9" s="28">
        <f ca="1">Numbers!F8</f>
        <v>-0.29999995376297844</v>
      </c>
    </row>
    <row r="10" spans="1:14" ht="19" x14ac:dyDescent="0.25">
      <c r="B10" s="29" t="s">
        <v>166</v>
      </c>
      <c r="I10" s="25" t="s">
        <v>47</v>
      </c>
      <c r="J10" s="26" t="s">
        <v>81</v>
      </c>
      <c r="M10" s="27">
        <f ca="1">Numbers!E9</f>
        <v>0.70000004010767336</v>
      </c>
      <c r="N10" s="28">
        <f ca="1">Numbers!F9</f>
        <v>0.40000000268548597</v>
      </c>
    </row>
    <row r="11" spans="1:14" ht="19" x14ac:dyDescent="0.25">
      <c r="B11" s="29" t="s">
        <v>167</v>
      </c>
      <c r="I11" s="25" t="s">
        <v>32</v>
      </c>
      <c r="J11" s="26" t="s">
        <v>82</v>
      </c>
      <c r="M11" s="27">
        <f ca="1">Numbers!E10</f>
        <v>-0.12000001172371635</v>
      </c>
      <c r="N11" s="28">
        <f ca="1">Numbers!F10</f>
        <v>-0.34999998623312795</v>
      </c>
    </row>
    <row r="12" spans="1:14" ht="19" x14ac:dyDescent="0.25">
      <c r="B12" s="30" t="s">
        <v>159</v>
      </c>
      <c r="I12" s="25" t="s">
        <v>54</v>
      </c>
      <c r="J12" s="26" t="s">
        <v>83</v>
      </c>
      <c r="K12" s="31"/>
      <c r="M12" s="27">
        <f ca="1">Numbers!E11</f>
        <v>-0.87500001947471584</v>
      </c>
      <c r="N12" s="28">
        <f ca="1">Numbers!F11</f>
        <v>0.87499998945549939</v>
      </c>
    </row>
    <row r="13" spans="1:14" ht="19" x14ac:dyDescent="0.2">
      <c r="I13" s="25" t="s">
        <v>25</v>
      </c>
      <c r="J13" s="26" t="s">
        <v>84</v>
      </c>
      <c r="K13" s="31"/>
      <c r="M13" s="27">
        <f ca="1">Numbers!E12</f>
        <v>0.10000000654441973</v>
      </c>
      <c r="N13" s="28">
        <f ca="1">Numbers!F12</f>
        <v>-0.84545455320641061</v>
      </c>
    </row>
    <row r="14" spans="1:14" ht="19" x14ac:dyDescent="0.25">
      <c r="B14" s="22" t="s">
        <v>231</v>
      </c>
      <c r="I14" s="25" t="s">
        <v>34</v>
      </c>
      <c r="J14" s="26" t="s">
        <v>85</v>
      </c>
      <c r="K14" s="31"/>
      <c r="M14" s="27">
        <f ca="1">Numbers!E13</f>
        <v>-0.3999999803523166</v>
      </c>
      <c r="N14" s="28">
        <f ca="1">Numbers!F13</f>
        <v>-0.24545452711993523</v>
      </c>
    </row>
    <row r="15" spans="1:14" ht="19" x14ac:dyDescent="0.25">
      <c r="B15" s="22" t="s">
        <v>232</v>
      </c>
      <c r="I15" s="25" t="s">
        <v>48</v>
      </c>
      <c r="J15" s="26" t="s">
        <v>86</v>
      </c>
      <c r="K15" s="31"/>
      <c r="M15" s="27">
        <f ca="1">Numbers!E14</f>
        <v>0.19090906523550863</v>
      </c>
      <c r="N15" s="28">
        <f ca="1">Numbers!F14</f>
        <v>0.40909093673653785</v>
      </c>
    </row>
    <row r="16" spans="1:14" ht="19" x14ac:dyDescent="0.25">
      <c r="B16" s="22" t="s">
        <v>233</v>
      </c>
      <c r="I16" s="25" t="s">
        <v>50</v>
      </c>
      <c r="J16" s="26" t="s">
        <v>87</v>
      </c>
      <c r="K16" s="31"/>
      <c r="M16" s="27">
        <f ca="1">Numbers!E15</f>
        <v>-0.79999999825228474</v>
      </c>
      <c r="N16" s="28">
        <f ca="1">Numbers!F15</f>
        <v>0.69999999083493669</v>
      </c>
    </row>
    <row r="17" spans="2:19" ht="19" x14ac:dyDescent="0.25">
      <c r="B17" s="22"/>
      <c r="I17" s="25" t="s">
        <v>38</v>
      </c>
      <c r="J17" s="26" t="s">
        <v>88</v>
      </c>
      <c r="K17" s="31"/>
      <c r="M17" s="27">
        <f ca="1">Numbers!E16</f>
        <v>-0.29999999517419168</v>
      </c>
      <c r="N17" s="28">
        <f ca="1">Numbers!F16</f>
        <v>-4.9999991013650838E-2</v>
      </c>
    </row>
    <row r="18" spans="2:19" ht="19" x14ac:dyDescent="0.25">
      <c r="B18" s="22" t="s">
        <v>127</v>
      </c>
      <c r="I18" s="25" t="s">
        <v>31</v>
      </c>
      <c r="J18" s="26" t="s">
        <v>89</v>
      </c>
      <c r="K18" s="31"/>
      <c r="M18" s="27">
        <f ca="1">Numbers!E17</f>
        <v>0.15000003476056079</v>
      </c>
      <c r="N18" s="28">
        <f ca="1">Numbers!F17</f>
        <v>-0.35454542400552436</v>
      </c>
    </row>
    <row r="19" spans="2:19" ht="19" x14ac:dyDescent="0.25">
      <c r="B19" s="29" t="s">
        <v>228</v>
      </c>
      <c r="I19" s="25" t="s">
        <v>41</v>
      </c>
      <c r="J19" s="26" t="s">
        <v>90</v>
      </c>
      <c r="K19" s="31"/>
      <c r="M19" s="27">
        <f ca="1">Numbers!E18</f>
        <v>0.10000000667069774</v>
      </c>
      <c r="N19" s="28">
        <f ca="1">Numbers!F18</f>
        <v>0.19090907827780115</v>
      </c>
    </row>
    <row r="20" spans="2:19" ht="19" x14ac:dyDescent="0.25">
      <c r="B20" s="29" t="s">
        <v>170</v>
      </c>
      <c r="I20" s="25" t="s">
        <v>44</v>
      </c>
      <c r="J20" s="26" t="s">
        <v>91</v>
      </c>
      <c r="K20" s="31"/>
      <c r="M20" s="27">
        <f ca="1">Numbers!E19</f>
        <v>-0.30000004572033029</v>
      </c>
      <c r="N20" s="28">
        <f ca="1">Numbers!F19</f>
        <v>0.30000000585837122</v>
      </c>
    </row>
    <row r="21" spans="2:19" ht="19" x14ac:dyDescent="0.25">
      <c r="B21" s="22"/>
      <c r="I21" s="25" t="s">
        <v>33</v>
      </c>
      <c r="J21" s="26" t="s">
        <v>92</v>
      </c>
      <c r="K21" s="31"/>
      <c r="M21" s="27">
        <f ca="1">Numbers!E20</f>
        <v>0.69999998860662582</v>
      </c>
      <c r="N21" s="28">
        <f ca="1">Numbers!F20</f>
        <v>-0.29999995948991187</v>
      </c>
    </row>
    <row r="22" spans="2:19" ht="19" x14ac:dyDescent="0.25">
      <c r="B22" s="22" t="s">
        <v>128</v>
      </c>
      <c r="I22" s="25" t="s">
        <v>39</v>
      </c>
      <c r="J22" s="26" t="s">
        <v>93</v>
      </c>
      <c r="K22" s="31"/>
      <c r="M22" s="27">
        <f ca="1">Numbers!E21</f>
        <v>-0.44999995556781763</v>
      </c>
      <c r="N22" s="28">
        <f ca="1">Numbers!F21</f>
        <v>8.1818169504901228E-2</v>
      </c>
    </row>
    <row r="23" spans="2:19" ht="19" x14ac:dyDescent="0.25">
      <c r="B23" s="29" t="s">
        <v>168</v>
      </c>
      <c r="I23" s="25" t="s">
        <v>37</v>
      </c>
      <c r="J23" s="26" t="s">
        <v>94</v>
      </c>
      <c r="K23" s="31"/>
      <c r="M23" s="27">
        <f ca="1">Numbers!E22</f>
        <v>0.20000001032053477</v>
      </c>
      <c r="N23" s="28">
        <f ca="1">Numbers!F22</f>
        <v>-8.1818176168460599E-2</v>
      </c>
    </row>
    <row r="24" spans="2:19" ht="19" x14ac:dyDescent="0.25">
      <c r="B24" s="29" t="s">
        <v>169</v>
      </c>
      <c r="I24" s="25" t="s">
        <v>51</v>
      </c>
      <c r="J24" s="26" t="s">
        <v>95</v>
      </c>
      <c r="K24" s="31"/>
      <c r="M24" s="27">
        <f ca="1">Numbers!E23</f>
        <v>0.80000001697810552</v>
      </c>
      <c r="N24" s="28">
        <f ca="1">Numbers!F23</f>
        <v>0.70000000863247014</v>
      </c>
    </row>
    <row r="25" spans="2:19" ht="19" x14ac:dyDescent="0.25">
      <c r="B25" s="22"/>
      <c r="I25" s="25" t="s">
        <v>28</v>
      </c>
      <c r="J25" s="26" t="s">
        <v>96</v>
      </c>
      <c r="K25" s="31"/>
      <c r="M25" s="27">
        <f ca="1">Numbers!E24</f>
        <v>-0.57272727756266373</v>
      </c>
      <c r="N25" s="28">
        <f ca="1">Numbers!F24</f>
        <v>-0.60000003969650006</v>
      </c>
    </row>
    <row r="26" spans="2:19" ht="19" x14ac:dyDescent="0.25">
      <c r="B26" s="32" t="s">
        <v>160</v>
      </c>
      <c r="I26" s="25" t="s">
        <v>49</v>
      </c>
      <c r="J26" s="26" t="s">
        <v>97</v>
      </c>
      <c r="K26" s="31"/>
      <c r="M26" s="27">
        <f ca="1">Numbers!E25</f>
        <v>0.51818184887489349</v>
      </c>
      <c r="N26" s="28">
        <f ca="1">Numbers!F25</f>
        <v>0.57272724909415618</v>
      </c>
    </row>
    <row r="27" spans="2:19" ht="21" x14ac:dyDescent="0.25">
      <c r="B27" s="32" t="s">
        <v>125</v>
      </c>
      <c r="D27" s="33" t="s">
        <v>153</v>
      </c>
      <c r="E27" s="34" t="s">
        <v>154</v>
      </c>
      <c r="I27" s="25" t="s">
        <v>26</v>
      </c>
      <c r="J27" s="26" t="s">
        <v>98</v>
      </c>
      <c r="K27" s="31"/>
      <c r="M27" s="27">
        <f ca="1">Numbers!E26</f>
        <v>-0.40000002982994776</v>
      </c>
      <c r="N27" s="28">
        <f ca="1">Numbers!F26</f>
        <v>-0.74999997040773736</v>
      </c>
    </row>
    <row r="28" spans="2:19" ht="19" x14ac:dyDescent="0.25">
      <c r="D28" s="35" t="s">
        <v>147</v>
      </c>
      <c r="E28" s="36" t="s">
        <v>145</v>
      </c>
      <c r="I28" s="25" t="s">
        <v>30</v>
      </c>
      <c r="J28" s="26" t="s">
        <v>99</v>
      </c>
      <c r="K28" s="31"/>
      <c r="M28" s="27">
        <f ca="1">Numbers!E27</f>
        <v>-0.64999995893899332</v>
      </c>
      <c r="N28" s="28">
        <f ca="1">Numbers!F27</f>
        <v>-0.40000002227140236</v>
      </c>
    </row>
    <row r="29" spans="2:19" ht="22" x14ac:dyDescent="0.25">
      <c r="B29" s="37" t="s">
        <v>18</v>
      </c>
      <c r="C29" s="38" t="s">
        <v>17</v>
      </c>
      <c r="D29" s="35" t="s">
        <v>148</v>
      </c>
      <c r="E29" s="36" t="s">
        <v>234</v>
      </c>
      <c r="I29" s="25" t="s">
        <v>43</v>
      </c>
      <c r="J29" s="26" t="s">
        <v>100</v>
      </c>
      <c r="K29" s="31"/>
      <c r="M29" s="27">
        <f ca="1">Numbers!E28</f>
        <v>9.9999970101398092E-2</v>
      </c>
      <c r="N29" s="28">
        <f ca="1">Numbers!F28</f>
        <v>0.29999998294893349</v>
      </c>
    </row>
    <row r="30" spans="2:19" ht="21" x14ac:dyDescent="0.25">
      <c r="B30" s="39"/>
      <c r="C30" s="15" t="s">
        <v>135</v>
      </c>
      <c r="D30" s="40">
        <f>MIN(1,MAX(-1,SUMPRODUCT($P$48:$P$55,N48:N55)/P60))</f>
        <v>-1</v>
      </c>
      <c r="E30" s="41">
        <f>MIN(1,MAX(-1,SUMPRODUCT($P$48:$P$55,O48:O55)/P60))</f>
        <v>-0.33333333333333337</v>
      </c>
      <c r="I30" s="25" t="s">
        <v>55</v>
      </c>
      <c r="J30" s="26" t="s">
        <v>101</v>
      </c>
      <c r="K30" s="31"/>
      <c r="M30" s="27">
        <f ca="1">Numbers!E29</f>
        <v>0.8750000152048405</v>
      </c>
      <c r="N30" s="28">
        <f ca="1">Numbers!F29</f>
        <v>0.87500000088390661</v>
      </c>
      <c r="S30" s="42"/>
    </row>
    <row r="31" spans="2:19" ht="19" x14ac:dyDescent="0.2">
      <c r="B31" s="39"/>
      <c r="I31" s="25" t="s">
        <v>35</v>
      </c>
      <c r="J31" s="26" t="s">
        <v>102</v>
      </c>
      <c r="K31" s="31"/>
      <c r="M31" s="27">
        <f ca="1">Numbers!E30</f>
        <v>0.39999999493460581</v>
      </c>
      <c r="N31" s="28">
        <f ca="1">Numbers!F30</f>
        <v>-0.14999999148390927</v>
      </c>
    </row>
    <row r="32" spans="2:19" ht="22" x14ac:dyDescent="0.2">
      <c r="B32" s="43" t="s">
        <v>19</v>
      </c>
      <c r="C32" s="38" t="s">
        <v>131</v>
      </c>
      <c r="I32" s="25" t="s">
        <v>42</v>
      </c>
      <c r="J32" s="26" t="s">
        <v>103</v>
      </c>
      <c r="K32" s="31"/>
      <c r="M32" s="27">
        <f ca="1">Numbers!E31</f>
        <v>0.40000003238554432</v>
      </c>
      <c r="N32" s="28">
        <f ca="1">Numbers!F31</f>
        <v>0.24999996254817636</v>
      </c>
    </row>
    <row r="33" spans="2:21" ht="22" x14ac:dyDescent="0.2">
      <c r="C33" s="38" t="s">
        <v>132</v>
      </c>
      <c r="I33" s="25" t="s">
        <v>45</v>
      </c>
      <c r="J33" s="26" t="s">
        <v>104</v>
      </c>
      <c r="K33" s="31"/>
      <c r="M33" s="27">
        <f ca="1">Numbers!E32</f>
        <v>-0.79999995521745026</v>
      </c>
      <c r="N33" s="28">
        <f ca="1">Numbers!F32</f>
        <v>0.39999997828482725</v>
      </c>
    </row>
    <row r="34" spans="2:21" ht="19" x14ac:dyDescent="0.2">
      <c r="B34" s="44"/>
      <c r="I34" s="25" t="s">
        <v>36</v>
      </c>
      <c r="J34" s="26" t="s">
        <v>105</v>
      </c>
      <c r="K34" s="31"/>
      <c r="M34" s="27">
        <f ca="1">Numbers!E33</f>
        <v>-0.44999995707095364</v>
      </c>
      <c r="N34" s="28">
        <f ca="1">Numbers!F33</f>
        <v>-0.13636364426336622</v>
      </c>
    </row>
    <row r="35" spans="2:21" ht="22" x14ac:dyDescent="0.2">
      <c r="B35" s="44"/>
      <c r="C35" s="45" t="s">
        <v>112</v>
      </c>
      <c r="D35" s="46" t="s">
        <v>130</v>
      </c>
      <c r="I35" s="25" t="s">
        <v>27</v>
      </c>
      <c r="J35" s="26" t="s">
        <v>106</v>
      </c>
      <c r="K35" s="31"/>
      <c r="M35" s="27">
        <f ca="1">Numbers!E34</f>
        <v>0.25000003929938486</v>
      </c>
      <c r="N35" s="28">
        <f ca="1">Numbers!F34</f>
        <v>-0.65000002329575446</v>
      </c>
    </row>
    <row r="36" spans="2:21" ht="19" x14ac:dyDescent="0.25">
      <c r="B36" s="47" t="s">
        <v>5</v>
      </c>
      <c r="C36" s="48" t="s">
        <v>2</v>
      </c>
      <c r="D36" s="14">
        <v>4</v>
      </c>
      <c r="E36" s="49" t="str">
        <f>IF(AND(D36&lt;=10,D36&gt;=1),"","Should be between 1 and 10.")</f>
        <v/>
      </c>
      <c r="I36" s="25" t="s">
        <v>40</v>
      </c>
      <c r="J36" s="26" t="s">
        <v>107</v>
      </c>
      <c r="K36" s="31"/>
      <c r="M36" s="27">
        <f ca="1">Numbers!E35</f>
        <v>-0.10000003297502102</v>
      </c>
      <c r="N36" s="28">
        <f ca="1">Numbers!F35</f>
        <v>0.10000004377068096</v>
      </c>
    </row>
    <row r="37" spans="2:21" ht="19" x14ac:dyDescent="0.25">
      <c r="B37" s="47" t="s">
        <v>6</v>
      </c>
      <c r="C37" s="48" t="s">
        <v>1</v>
      </c>
      <c r="D37" s="14">
        <v>5</v>
      </c>
      <c r="E37" s="49" t="str">
        <f t="shared" ref="E37:E43" si="0">IF(AND(D37&lt;=10,D37&gt;=1),"","Should be between 1 and 10")</f>
        <v/>
      </c>
      <c r="I37" s="25" t="s">
        <v>53</v>
      </c>
      <c r="J37" s="26" t="s">
        <v>108</v>
      </c>
      <c r="K37" s="31"/>
      <c r="M37" s="27">
        <f ca="1">Numbers!E36</f>
        <v>-0.46363635731797992</v>
      </c>
      <c r="N37" s="28">
        <f ca="1">Numbers!F36</f>
        <v>0.79090907348845807</v>
      </c>
    </row>
    <row r="38" spans="2:21" ht="19" x14ac:dyDescent="0.25">
      <c r="B38" s="47" t="s">
        <v>7</v>
      </c>
      <c r="C38" s="48" t="s">
        <v>3</v>
      </c>
      <c r="D38" s="14">
        <v>7</v>
      </c>
      <c r="E38" s="49" t="str">
        <f t="shared" si="0"/>
        <v/>
      </c>
      <c r="I38" s="25" t="s">
        <v>46</v>
      </c>
      <c r="J38" s="26" t="s">
        <v>109</v>
      </c>
      <c r="K38" s="31"/>
      <c r="M38" s="27">
        <f ca="1">Numbers!E37</f>
        <v>-0.13636363275465158</v>
      </c>
      <c r="N38" s="28">
        <f ca="1">Numbers!F37</f>
        <v>0.40000004776624443</v>
      </c>
    </row>
    <row r="39" spans="2:21" ht="19" x14ac:dyDescent="0.25">
      <c r="B39" s="47" t="s">
        <v>8</v>
      </c>
      <c r="C39" s="48" t="s">
        <v>155</v>
      </c>
      <c r="D39" s="14">
        <v>4</v>
      </c>
      <c r="E39" s="49" t="str">
        <f t="shared" si="0"/>
        <v/>
      </c>
      <c r="I39" s="25" t="s">
        <v>52</v>
      </c>
      <c r="J39" s="26" t="s">
        <v>110</v>
      </c>
      <c r="K39" s="31"/>
      <c r="M39" s="27">
        <f ca="1">Numbers!E38</f>
        <v>0.13636364759319936</v>
      </c>
      <c r="N39" s="28">
        <f ca="1">Numbers!F38</f>
        <v>0.73636365434603979</v>
      </c>
    </row>
    <row r="40" spans="2:21" ht="19" x14ac:dyDescent="0.25">
      <c r="B40" s="47" t="s">
        <v>9</v>
      </c>
      <c r="C40" s="48" t="s">
        <v>4</v>
      </c>
      <c r="D40" s="14">
        <v>6</v>
      </c>
      <c r="E40" s="49" t="str">
        <f t="shared" si="0"/>
        <v/>
      </c>
      <c r="I40" s="25" t="s">
        <v>23</v>
      </c>
      <c r="J40" s="26" t="s">
        <v>111</v>
      </c>
      <c r="K40" s="31"/>
      <c r="M40" s="27">
        <f ca="1">Numbers!E39</f>
        <v>-0.8749999991301447</v>
      </c>
      <c r="N40" s="28">
        <f ca="1">Numbers!F39</f>
        <v>-0.87499996732381169</v>
      </c>
    </row>
    <row r="41" spans="2:21" ht="19" x14ac:dyDescent="0.25">
      <c r="B41" s="47" t="s">
        <v>10</v>
      </c>
      <c r="C41" s="48" t="s">
        <v>115</v>
      </c>
      <c r="D41" s="14">
        <v>2</v>
      </c>
      <c r="E41" s="49" t="str">
        <f t="shared" si="0"/>
        <v/>
      </c>
      <c r="K41" s="31"/>
    </row>
    <row r="42" spans="2:21" ht="19" x14ac:dyDescent="0.25">
      <c r="B42" s="47" t="s">
        <v>113</v>
      </c>
      <c r="C42" s="48" t="s">
        <v>123</v>
      </c>
      <c r="D42" s="14">
        <v>4</v>
      </c>
      <c r="E42" s="49" t="str">
        <f t="shared" si="0"/>
        <v/>
      </c>
      <c r="K42" s="31"/>
    </row>
    <row r="43" spans="2:21" ht="19" x14ac:dyDescent="0.25">
      <c r="B43" s="47" t="s">
        <v>11</v>
      </c>
      <c r="C43" s="48" t="s">
        <v>0</v>
      </c>
      <c r="D43" s="14">
        <v>8</v>
      </c>
      <c r="E43" s="49" t="str">
        <f t="shared" si="0"/>
        <v/>
      </c>
      <c r="K43" s="31"/>
    </row>
    <row r="44" spans="2:21" x14ac:dyDescent="0.2">
      <c r="K44" s="31"/>
    </row>
    <row r="45" spans="2:21" x14ac:dyDescent="0.2">
      <c r="D45" s="50" t="str">
        <f>IF(STDEV(D36:D43)&gt;0,"","Ratings cannot all be the same.")</f>
        <v/>
      </c>
      <c r="K45" s="31"/>
    </row>
    <row r="46" spans="2:21" ht="44" x14ac:dyDescent="0.2">
      <c r="B46" s="51" t="s">
        <v>126</v>
      </c>
      <c r="C46" s="38" t="s">
        <v>133</v>
      </c>
      <c r="T46" s="27"/>
      <c r="U46" s="28"/>
    </row>
    <row r="47" spans="2:21" ht="19" x14ac:dyDescent="0.2">
      <c r="C47" s="42"/>
      <c r="T47" s="27"/>
      <c r="U47" s="28"/>
    </row>
    <row r="48" spans="2:21" x14ac:dyDescent="0.2">
      <c r="N48" s="19">
        <v>1</v>
      </c>
      <c r="O48" s="19">
        <v>1</v>
      </c>
      <c r="P48" s="52">
        <f t="shared" ref="P48:P55" si="1">(D36-$P$57)/$P$59</f>
        <v>0.33333333333333331</v>
      </c>
    </row>
    <row r="49" spans="14:16" x14ac:dyDescent="0.2">
      <c r="N49" s="19">
        <v>-1</v>
      </c>
      <c r="O49" s="19">
        <v>1</v>
      </c>
      <c r="P49" s="52">
        <f t="shared" si="1"/>
        <v>0.5</v>
      </c>
    </row>
    <row r="50" spans="14:16" x14ac:dyDescent="0.2">
      <c r="N50" s="19">
        <v>-1</v>
      </c>
      <c r="O50" s="19">
        <v>1</v>
      </c>
      <c r="P50" s="52">
        <f t="shared" si="1"/>
        <v>0.83333333333333337</v>
      </c>
    </row>
    <row r="51" spans="14:16" x14ac:dyDescent="0.2">
      <c r="N51" s="19">
        <v>1</v>
      </c>
      <c r="O51" s="19">
        <v>-1</v>
      </c>
      <c r="P51" s="52">
        <f t="shared" si="1"/>
        <v>0.33333333333333331</v>
      </c>
    </row>
    <row r="52" spans="14:16" x14ac:dyDescent="0.2">
      <c r="N52" s="19">
        <v>-1</v>
      </c>
      <c r="O52" s="19">
        <v>-1</v>
      </c>
      <c r="P52" s="52">
        <f t="shared" si="1"/>
        <v>0.66666666666666663</v>
      </c>
    </row>
    <row r="53" spans="14:16" x14ac:dyDescent="0.2">
      <c r="N53" s="19">
        <v>1</v>
      </c>
      <c r="O53" s="19">
        <v>1</v>
      </c>
      <c r="P53" s="52">
        <f t="shared" si="1"/>
        <v>0</v>
      </c>
    </row>
    <row r="54" spans="14:16" x14ac:dyDescent="0.2">
      <c r="N54" s="19">
        <v>1</v>
      </c>
      <c r="O54" s="19">
        <v>-1</v>
      </c>
      <c r="P54" s="52">
        <f t="shared" si="1"/>
        <v>0.33333333333333331</v>
      </c>
    </row>
    <row r="55" spans="14:16" x14ac:dyDescent="0.2">
      <c r="N55" s="19">
        <v>-1</v>
      </c>
      <c r="O55" s="19">
        <v>-1</v>
      </c>
      <c r="P55" s="52">
        <f t="shared" si="1"/>
        <v>1</v>
      </c>
    </row>
    <row r="57" spans="14:16" x14ac:dyDescent="0.2">
      <c r="P57" s="53">
        <f>MIN(D36:D43)</f>
        <v>2</v>
      </c>
    </row>
    <row r="58" spans="14:16" x14ac:dyDescent="0.2">
      <c r="P58" s="53">
        <f>MAX(D36:D43)</f>
        <v>8</v>
      </c>
    </row>
    <row r="59" spans="14:16" x14ac:dyDescent="0.2">
      <c r="P59" s="53">
        <f>P58-P57</f>
        <v>6</v>
      </c>
    </row>
    <row r="60" spans="14:16" x14ac:dyDescent="0.2">
      <c r="P60" s="19">
        <v>2</v>
      </c>
    </row>
    <row r="74" spans="14:19" x14ac:dyDescent="0.2">
      <c r="N74" s="19">
        <v>1</v>
      </c>
      <c r="O74" s="19">
        <v>-99</v>
      </c>
      <c r="P74" s="19" t="str">
        <f>TEXT(O74,"0.00")&amp;" to "&amp;TEXT(O75,"0.00")</f>
        <v>-99.00 to -0.90</v>
      </c>
      <c r="Q74" s="19" t="s">
        <v>13</v>
      </c>
      <c r="R74" s="19" t="s">
        <v>117</v>
      </c>
      <c r="S74" s="19" t="s">
        <v>118</v>
      </c>
    </row>
    <row r="75" spans="14:19" x14ac:dyDescent="0.2">
      <c r="N75" s="19">
        <v>2</v>
      </c>
      <c r="O75" s="53">
        <v>-0.90000000000000013</v>
      </c>
      <c r="P75" s="19" t="str">
        <f t="shared" ref="P75:P82" si="2">TEXT(O75,"0.00")&amp;" to "&amp;TEXT(O76,"0.00")</f>
        <v>-0.90 to -0.64</v>
      </c>
      <c r="Q75" s="19" t="s">
        <v>116</v>
      </c>
      <c r="R75" s="19" t="s">
        <v>117</v>
      </c>
      <c r="S75" s="19" t="s">
        <v>118</v>
      </c>
    </row>
    <row r="76" spans="14:19" x14ac:dyDescent="0.2">
      <c r="N76" s="19">
        <v>3</v>
      </c>
      <c r="O76" s="53">
        <v>-0.6428571428571429</v>
      </c>
      <c r="P76" s="19" t="str">
        <f t="shared" si="2"/>
        <v>-0.64 to -0.39</v>
      </c>
      <c r="Q76" s="19" t="s">
        <v>14</v>
      </c>
      <c r="R76" s="19" t="s">
        <v>117</v>
      </c>
      <c r="S76" s="19" t="s">
        <v>118</v>
      </c>
    </row>
    <row r="77" spans="14:19" x14ac:dyDescent="0.2">
      <c r="N77" s="19">
        <v>4</v>
      </c>
      <c r="O77" s="53">
        <v>-0.38571428571428568</v>
      </c>
      <c r="P77" s="19" t="str">
        <f t="shared" si="2"/>
        <v>-0.39 to -0.13</v>
      </c>
      <c r="Q77" s="19" t="s">
        <v>15</v>
      </c>
      <c r="R77" s="19" t="s">
        <v>117</v>
      </c>
      <c r="S77" s="19" t="s">
        <v>118</v>
      </c>
    </row>
    <row r="78" spans="14:19" x14ac:dyDescent="0.2">
      <c r="N78" s="19">
        <v>5</v>
      </c>
      <c r="O78" s="53">
        <v>-0.12857142857142856</v>
      </c>
      <c r="P78" s="19" t="str">
        <f t="shared" si="2"/>
        <v>-0.13 to 0.13</v>
      </c>
      <c r="Q78" s="19" t="s">
        <v>121</v>
      </c>
      <c r="R78" s="54" t="s">
        <v>16</v>
      </c>
      <c r="S78" s="54" t="s">
        <v>16</v>
      </c>
    </row>
    <row r="79" spans="14:19" x14ac:dyDescent="0.2">
      <c r="N79" s="19">
        <v>6</v>
      </c>
      <c r="O79" s="53">
        <v>0.12857142857142856</v>
      </c>
      <c r="P79" s="19" t="str">
        <f t="shared" si="2"/>
        <v>0.13 to 0.39</v>
      </c>
      <c r="Q79" s="19" t="s">
        <v>15</v>
      </c>
      <c r="R79" s="19" t="s">
        <v>119</v>
      </c>
      <c r="S79" s="19" t="s">
        <v>120</v>
      </c>
    </row>
    <row r="80" spans="14:19" x14ac:dyDescent="0.2">
      <c r="N80" s="19">
        <v>7</v>
      </c>
      <c r="O80" s="53">
        <v>0.3857142857142859</v>
      </c>
      <c r="P80" s="19" t="str">
        <f t="shared" si="2"/>
        <v>0.39 to 0.64</v>
      </c>
      <c r="Q80" s="19" t="s">
        <v>14</v>
      </c>
      <c r="R80" s="19" t="s">
        <v>119</v>
      </c>
      <c r="S80" s="19" t="s">
        <v>120</v>
      </c>
    </row>
    <row r="81" spans="1:19" x14ac:dyDescent="0.2">
      <c r="N81" s="19">
        <v>8</v>
      </c>
      <c r="O81" s="53">
        <v>0.64285714285714302</v>
      </c>
      <c r="P81" s="19" t="str">
        <f t="shared" si="2"/>
        <v>0.64 to 0.90</v>
      </c>
      <c r="Q81" s="19" t="s">
        <v>116</v>
      </c>
      <c r="R81" s="19" t="s">
        <v>119</v>
      </c>
      <c r="S81" s="19" t="s">
        <v>120</v>
      </c>
    </row>
    <row r="82" spans="1:19" x14ac:dyDescent="0.2">
      <c r="N82" s="19">
        <v>9</v>
      </c>
      <c r="O82" s="53">
        <v>0.90000000000000013</v>
      </c>
      <c r="P82" s="19" t="str">
        <f t="shared" si="2"/>
        <v>0.90 to 99.00</v>
      </c>
      <c r="Q82" s="19" t="s">
        <v>13</v>
      </c>
      <c r="R82" s="19" t="s">
        <v>119</v>
      </c>
      <c r="S82" s="19" t="s">
        <v>120</v>
      </c>
    </row>
    <row r="83" spans="1:19" x14ac:dyDescent="0.2">
      <c r="O83" s="53">
        <v>99</v>
      </c>
    </row>
    <row r="86" spans="1:19" x14ac:dyDescent="0.2">
      <c r="P86" s="19" t="str">
        <f>"Self-Assessment for "&amp;C30&amp;" - Strengthsfinder 2 Themes"</f>
        <v>Self-Assessment for Russell Crowe - Strengthsfinder 2 Themes</v>
      </c>
    </row>
    <row r="87" spans="1:19" x14ac:dyDescent="0.2">
      <c r="P87" s="19" t="str">
        <f>"Self-Assessment for "&amp;C30&amp;" - Occupations"</f>
        <v>Self-Assessment for Russell Crowe - Occupations</v>
      </c>
    </row>
    <row r="89" spans="1:19" x14ac:dyDescent="0.2">
      <c r="P89" s="53" t="str">
        <f>"("&amp;TEXT(D30,"0.00")&amp;", "&amp;TEXT(E30,"0.00")&amp;")"</f>
        <v>(-1.00, -0.33)</v>
      </c>
    </row>
    <row r="91" spans="1:19" x14ac:dyDescent="0.2">
      <c r="P91" s="19" t="s">
        <v>12</v>
      </c>
    </row>
    <row r="92" spans="1:19" x14ac:dyDescent="0.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P92" s="19" t="str">
        <f>INDEX($Q$74:$Q$82,R92)</f>
        <v xml:space="preserve">extremely </v>
      </c>
      <c r="Q92" s="19" t="str">
        <f>INDEX($R$74:$R$82,R92)</f>
        <v>people-oriented,</v>
      </c>
      <c r="R92" s="19">
        <f>MATCH(D30,$O$74:$O$83)</f>
        <v>1</v>
      </c>
    </row>
    <row r="93" spans="1:19" ht="17" thickBot="1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P93" s="19" t="s">
        <v>122</v>
      </c>
    </row>
    <row r="94" spans="1:19" ht="40" customHeight="1" thickTop="1" x14ac:dyDescent="0.2">
      <c r="A94" s="55"/>
      <c r="B94" s="56" t="str">
        <f>"   "&amp;P86</f>
        <v xml:space="preserve">   Self-Assessment for Russell Crowe - Strengthsfinder 2 Themes</v>
      </c>
      <c r="C94" s="57"/>
      <c r="D94" s="58"/>
      <c r="E94" s="59"/>
      <c r="F94" s="55"/>
      <c r="G94" s="60" t="s">
        <v>161</v>
      </c>
      <c r="H94" s="61"/>
      <c r="I94" s="61"/>
      <c r="J94" s="62"/>
      <c r="K94" s="55"/>
      <c r="P94" s="19" t="str">
        <f>INDEX($Q$74:$Q$82,R94)</f>
        <v xml:space="preserve">somewhat </v>
      </c>
      <c r="Q94" s="19" t="str">
        <f>INDEX($S$74:$S$82,R94)</f>
        <v>execution-oriented.</v>
      </c>
      <c r="R94" s="19">
        <f>MATCH(E30,$O$74:$O$83)</f>
        <v>4</v>
      </c>
    </row>
    <row r="95" spans="1:19" ht="40" customHeight="1" x14ac:dyDescent="0.2">
      <c r="A95" s="55"/>
      <c r="B95" s="63"/>
      <c r="C95" s="64" t="s">
        <v>156</v>
      </c>
      <c r="D95" s="65"/>
      <c r="E95" s="59"/>
      <c r="F95" s="55"/>
      <c r="G95" s="63"/>
      <c r="H95" s="66" t="str">
        <f ca="1">Numbers!L45</f>
        <v>Actor</v>
      </c>
      <c r="I95" s="67"/>
      <c r="J95" s="68"/>
      <c r="K95" s="55"/>
    </row>
    <row r="96" spans="1:19" ht="40" customHeight="1" x14ac:dyDescent="0.2">
      <c r="A96" s="55"/>
      <c r="B96" s="63"/>
      <c r="C96" s="64" t="str">
        <f>P91&amp;P92&amp;Q92</f>
        <v>According to your preferences, on the People-Task Axis you are extremely people-oriented,</v>
      </c>
      <c r="D96" s="65"/>
      <c r="E96" s="59"/>
      <c r="F96" s="55"/>
      <c r="G96" s="63"/>
      <c r="H96" s="66" t="str">
        <f ca="1">Numbers!L46</f>
        <v>Teacher</v>
      </c>
      <c r="I96" s="67"/>
      <c r="J96" s="68"/>
      <c r="K96" s="55"/>
    </row>
    <row r="97" spans="1:30" ht="40" customHeight="1" thickBot="1" x14ac:dyDescent="0.25">
      <c r="A97" s="55"/>
      <c r="B97" s="63"/>
      <c r="C97" s="64" t="str">
        <f>P93&amp;Q93&amp;P94&amp;Q94&amp;S96</f>
        <v xml:space="preserve"> and on the Execution-Vision Axis you are somewhat execution-oriented.</v>
      </c>
      <c r="D97" s="65"/>
      <c r="E97" s="59"/>
      <c r="F97" s="55"/>
      <c r="G97" s="69"/>
      <c r="H97" s="70" t="str">
        <f ca="1">Numbers!L47</f>
        <v>Philanthropist</v>
      </c>
      <c r="I97" s="71"/>
      <c r="J97" s="72"/>
      <c r="K97" s="55"/>
    </row>
    <row r="98" spans="1:30" ht="40" customHeight="1" thickTop="1" x14ac:dyDescent="0.2">
      <c r="A98" s="55"/>
      <c r="B98" s="73" t="s">
        <v>163</v>
      </c>
      <c r="C98" s="67"/>
      <c r="D98" s="65"/>
      <c r="E98" s="59"/>
      <c r="F98" s="55"/>
      <c r="G98" s="55"/>
      <c r="H98" s="55"/>
      <c r="I98" s="55"/>
      <c r="J98" s="55"/>
      <c r="K98" s="55"/>
      <c r="P98" s="74" t="s">
        <v>77</v>
      </c>
      <c r="Q98" s="74" t="s">
        <v>21</v>
      </c>
      <c r="R98" s="74" t="s">
        <v>22</v>
      </c>
    </row>
    <row r="99" spans="1:30" ht="40" customHeight="1" x14ac:dyDescent="0.2">
      <c r="A99" s="55"/>
      <c r="B99" s="75" t="str">
        <f ca="1">Numbers!L6&amp;" : "</f>
        <v xml:space="preserve">Individualization : </v>
      </c>
      <c r="C99" s="76" t="str">
        <f ca="1">Numbers!M6</f>
        <v>People who are especially talented in the Individualization theme are intrigued with the unique qualities of each person. They have a gift for figuring out how people who are different can work together productively.</v>
      </c>
      <c r="D99" s="65"/>
      <c r="E99" s="59"/>
      <c r="F99" s="55"/>
      <c r="G99" s="59"/>
      <c r="H99" s="59"/>
      <c r="I99" s="59"/>
      <c r="J99" s="55"/>
      <c r="K99" s="55"/>
      <c r="P99" s="19" t="s">
        <v>56</v>
      </c>
      <c r="Q99" s="77">
        <v>0.80839456818291078</v>
      </c>
      <c r="R99" s="77">
        <v>0.33484804987530042</v>
      </c>
      <c r="AA99" s="74" t="s">
        <v>70</v>
      </c>
      <c r="AB99" s="74" t="s">
        <v>71</v>
      </c>
    </row>
    <row r="100" spans="1:30" ht="40" customHeight="1" x14ac:dyDescent="0.2">
      <c r="A100" s="55"/>
      <c r="B100" s="75" t="str">
        <f ca="1">Numbers!L7&amp;" : "</f>
        <v xml:space="preserve">Harmony : </v>
      </c>
      <c r="C100" s="76" t="str">
        <f ca="1">Numbers!M7</f>
        <v>People who are especially talented in the Harmony theme look for consensus. They don’t enjoy conflict; rather, they seek areas of agreement.</v>
      </c>
      <c r="D100" s="65"/>
      <c r="E100" s="59"/>
      <c r="F100" s="55"/>
      <c r="G100" s="59"/>
      <c r="H100" s="59"/>
      <c r="I100" s="59"/>
      <c r="J100" s="55"/>
      <c r="K100" s="55"/>
      <c r="P100" s="19" t="s">
        <v>57</v>
      </c>
      <c r="Q100" s="77">
        <v>0.33484798304811858</v>
      </c>
      <c r="R100" s="77">
        <v>0.80839458522681473</v>
      </c>
      <c r="Z100" s="19" t="s">
        <v>56</v>
      </c>
      <c r="AA100" s="78">
        <v>1.8083945909473758</v>
      </c>
      <c r="AB100" s="78">
        <v>1.3348480033194536</v>
      </c>
      <c r="AC100" s="77">
        <f ca="1">(AA100-1)+0.0000001*(RAND()-0.5)</f>
        <v>0.80839458709405876</v>
      </c>
      <c r="AD100" s="77">
        <f ca="1">(AB100-1)+0.0000001*(RAND()-0.5)</f>
        <v>0.33484800844066837</v>
      </c>
    </row>
    <row r="101" spans="1:30" ht="60" customHeight="1" thickBot="1" x14ac:dyDescent="0.25">
      <c r="A101" s="55"/>
      <c r="B101" s="79" t="str">
        <f ca="1">Numbers!L8&amp;" : "</f>
        <v xml:space="preserve">Woo : </v>
      </c>
      <c r="C101" s="80" t="str">
        <f ca="1">Numbers!M8</f>
        <v>People who are especially talented in the Woo theme love the challenge of meeting new people and winning them over. They derive satisfaction from breaking the ice and making a connection with another.</v>
      </c>
      <c r="D101" s="81"/>
      <c r="E101" s="59"/>
      <c r="F101" s="55"/>
      <c r="G101" s="59"/>
      <c r="H101" s="59"/>
      <c r="I101" s="59"/>
      <c r="J101" s="55"/>
      <c r="K101" s="55"/>
      <c r="P101" s="19" t="s">
        <v>59</v>
      </c>
      <c r="Q101" s="77">
        <v>-0.33484800630641454</v>
      </c>
      <c r="R101" s="77">
        <v>0.80839458016322685</v>
      </c>
      <c r="Z101" s="19" t="s">
        <v>57</v>
      </c>
      <c r="AA101" s="78">
        <v>1.3348480033194536</v>
      </c>
      <c r="AB101" s="78">
        <v>1.8083945909473758</v>
      </c>
      <c r="AC101" s="77">
        <f t="shared" ref="AC101:AD112" ca="1" si="3">(AA101-1)+0.0000001*(RAND()-0.5)</f>
        <v>0.33484795686648572</v>
      </c>
      <c r="AD101" s="77">
        <f t="shared" ca="1" si="3"/>
        <v>0.80839457194945963</v>
      </c>
    </row>
    <row r="102" spans="1:30" ht="40" customHeight="1" thickBot="1" x14ac:dyDescent="0.25">
      <c r="A102" s="55"/>
      <c r="B102" s="59"/>
      <c r="C102" s="59"/>
      <c r="D102" s="59"/>
      <c r="E102" s="59"/>
      <c r="F102" s="55"/>
      <c r="G102" s="59"/>
      <c r="H102" s="59"/>
      <c r="I102" s="59"/>
      <c r="J102" s="55"/>
      <c r="K102" s="55"/>
      <c r="P102" s="19" t="s">
        <v>58</v>
      </c>
      <c r="Q102" s="77">
        <v>-0.80839458285465382</v>
      </c>
      <c r="R102" s="77">
        <v>0.33484803027556087</v>
      </c>
      <c r="Z102" s="19" t="s">
        <v>59</v>
      </c>
      <c r="AA102" s="78">
        <v>0.66515199668054648</v>
      </c>
      <c r="AB102" s="78">
        <v>1.8083945909473758</v>
      </c>
      <c r="AC102" s="77">
        <f t="shared" ca="1" si="3"/>
        <v>-0.33484803018799092</v>
      </c>
      <c r="AD102" s="77">
        <f t="shared" ca="1" si="3"/>
        <v>0.80839460870116842</v>
      </c>
    </row>
    <row r="103" spans="1:30" ht="40" customHeight="1" thickTop="1" x14ac:dyDescent="0.2">
      <c r="A103" s="55"/>
      <c r="B103" s="82" t="s">
        <v>164</v>
      </c>
      <c r="C103" s="83"/>
      <c r="D103" s="84"/>
      <c r="E103" s="59"/>
      <c r="F103" s="55"/>
      <c r="G103" s="82" t="s">
        <v>162</v>
      </c>
      <c r="H103" s="85"/>
      <c r="I103" s="85"/>
      <c r="J103" s="86"/>
      <c r="K103" s="55"/>
      <c r="P103" s="19" t="s">
        <v>60</v>
      </c>
      <c r="Q103" s="77">
        <v>-0.80839461556556635</v>
      </c>
      <c r="R103" s="77">
        <v>-0.3348480269222554</v>
      </c>
      <c r="Z103" s="19" t="s">
        <v>58</v>
      </c>
      <c r="AA103" s="78">
        <v>0.19160540905262413</v>
      </c>
      <c r="AB103" s="78">
        <v>1.3348480033194536</v>
      </c>
      <c r="AC103" s="77">
        <f t="shared" ca="1" si="3"/>
        <v>-0.80839459750785447</v>
      </c>
      <c r="AD103" s="77">
        <f t="shared" ca="1" si="3"/>
        <v>0.33484798833305407</v>
      </c>
    </row>
    <row r="104" spans="1:30" ht="40" customHeight="1" x14ac:dyDescent="0.2">
      <c r="A104" s="55"/>
      <c r="B104" s="87" t="str">
        <f ca="1">Numbers!L10&amp;" : "</f>
        <v xml:space="preserve">Intellection : </v>
      </c>
      <c r="C104" s="88" t="str">
        <f ca="1">Numbers!M10</f>
        <v>People who are especially talented in the Intellection theme are characterized by their intellectual activity. They are introspective and appreciate intellectual discussions.</v>
      </c>
      <c r="D104" s="89"/>
      <c r="E104" s="59"/>
      <c r="F104" s="55"/>
      <c r="G104" s="90"/>
      <c r="H104" s="91" t="str">
        <f ca="1">Numbers!L49</f>
        <v>Architect</v>
      </c>
      <c r="I104" s="92"/>
      <c r="J104" s="93"/>
      <c r="K104" s="55"/>
      <c r="P104" s="19" t="s">
        <v>61</v>
      </c>
      <c r="Q104" s="77">
        <v>-0.33484800372969403</v>
      </c>
      <c r="R104" s="77">
        <v>-0.808394626799812</v>
      </c>
      <c r="Z104" s="19" t="s">
        <v>60</v>
      </c>
      <c r="AA104" s="78">
        <v>0.19160540905262391</v>
      </c>
      <c r="AB104" s="78">
        <v>0.66515199668054692</v>
      </c>
      <c r="AC104" s="77">
        <f t="shared" ca="1" si="3"/>
        <v>-0.8083946058444581</v>
      </c>
      <c r="AD104" s="77">
        <f t="shared" ca="1" si="3"/>
        <v>-0.33484796391956734</v>
      </c>
    </row>
    <row r="105" spans="1:30" ht="40" customHeight="1" x14ac:dyDescent="0.2">
      <c r="A105" s="55"/>
      <c r="B105" s="87" t="str">
        <f ca="1">Numbers!L11&amp;" : "</f>
        <v xml:space="preserve">Futuristic : </v>
      </c>
      <c r="C105" s="88" t="str">
        <f ca="1">Numbers!M11</f>
        <v>People who are especially talented in the Futuristic theme are inspired by the future and what could be. They inspire others with their visions of the future.</v>
      </c>
      <c r="D105" s="89"/>
      <c r="E105" s="59"/>
      <c r="F105" s="55"/>
      <c r="G105" s="90"/>
      <c r="H105" s="91" t="str">
        <f ca="1">Numbers!L50</f>
        <v>Farmer</v>
      </c>
      <c r="I105" s="92"/>
      <c r="J105" s="93"/>
      <c r="K105" s="55"/>
      <c r="P105" s="19" t="s">
        <v>62</v>
      </c>
      <c r="Q105" s="77">
        <v>0.33484805121970407</v>
      </c>
      <c r="R105" s="77">
        <v>-0.80839455005677863</v>
      </c>
      <c r="Z105" s="19" t="s">
        <v>61</v>
      </c>
      <c r="AA105" s="78">
        <v>0.6651519966805467</v>
      </c>
      <c r="AB105" s="78">
        <v>0.19160540905262402</v>
      </c>
      <c r="AC105" s="77">
        <f t="shared" ca="1" si="3"/>
        <v>-0.33484800547072385</v>
      </c>
      <c r="AD105" s="77">
        <f t="shared" ca="1" si="3"/>
        <v>-0.80839462840702292</v>
      </c>
    </row>
    <row r="106" spans="1:30" ht="60" customHeight="1" thickBot="1" x14ac:dyDescent="0.25">
      <c r="A106" s="55"/>
      <c r="B106" s="94" t="str">
        <f ca="1">Numbers!L12&amp;" : "</f>
        <v xml:space="preserve">Achiever : </v>
      </c>
      <c r="C106" s="95" t="str">
        <f ca="1">Numbers!M12</f>
        <v>People who are especially talented in the Achiever theme have a great deal of stamina and work hard. They take great satisfaction from being busy and productive.</v>
      </c>
      <c r="D106" s="96"/>
      <c r="E106" s="59"/>
      <c r="F106" s="55"/>
      <c r="G106" s="97"/>
      <c r="H106" s="98" t="str">
        <f ca="1">Numbers!L51</f>
        <v>Philosopher</v>
      </c>
      <c r="I106" s="99"/>
      <c r="J106" s="100"/>
      <c r="K106" s="55"/>
      <c r="P106" s="19" t="s">
        <v>63</v>
      </c>
      <c r="Q106" s="77">
        <v>0.8083945881229242</v>
      </c>
      <c r="R106" s="77">
        <v>-0.33484801893579691</v>
      </c>
      <c r="Z106" s="19" t="s">
        <v>62</v>
      </c>
      <c r="AA106" s="78">
        <v>1.3348480033194536</v>
      </c>
      <c r="AB106" s="78">
        <v>0.19160540905262424</v>
      </c>
      <c r="AC106" s="77">
        <f t="shared" ca="1" si="3"/>
        <v>0.33484799606957483</v>
      </c>
      <c r="AD106" s="77">
        <f t="shared" ca="1" si="3"/>
        <v>-0.80839454427756208</v>
      </c>
    </row>
    <row r="107" spans="1:30" ht="20" customHeight="1" thickTop="1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P107" s="19" t="s">
        <v>64</v>
      </c>
      <c r="Q107" s="77">
        <v>-8.7150673028313256E-9</v>
      </c>
      <c r="R107" s="77">
        <v>-1.8186427927314173E-8</v>
      </c>
      <c r="Z107" s="19" t="s">
        <v>63</v>
      </c>
      <c r="AA107" s="78">
        <v>1.808394590947376</v>
      </c>
      <c r="AB107" s="78">
        <v>0.66515199668054659</v>
      </c>
      <c r="AC107" s="77">
        <f t="shared" ca="1" si="3"/>
        <v>0.80839461746767893</v>
      </c>
      <c r="AD107" s="77">
        <f t="shared" ca="1" si="3"/>
        <v>-0.33484804114694627</v>
      </c>
    </row>
    <row r="108" spans="1:30" ht="20" customHeight="1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P108" s="19" t="s">
        <v>65</v>
      </c>
      <c r="Q108" s="77">
        <v>0.35355336458126913</v>
      </c>
      <c r="R108" s="77">
        <v>0.3535533553134762</v>
      </c>
      <c r="Z108" s="19" t="s">
        <v>64</v>
      </c>
      <c r="AA108" s="78">
        <v>1</v>
      </c>
      <c r="AB108" s="78">
        <v>1</v>
      </c>
      <c r="AC108" s="77">
        <f t="shared" ca="1" si="3"/>
        <v>-1.6666432100676309E-9</v>
      </c>
      <c r="AD108" s="77">
        <f t="shared" ca="1" si="3"/>
        <v>-1.8919162771774087E-8</v>
      </c>
    </row>
    <row r="109" spans="1:30" ht="20" customHeight="1" x14ac:dyDescent="0.2">
      <c r="P109" s="19" t="s">
        <v>66</v>
      </c>
      <c r="Q109" s="19">
        <v>-0.35355343438686221</v>
      </c>
      <c r="R109" s="19">
        <v>0.35355338501366723</v>
      </c>
      <c r="Z109" s="19" t="s">
        <v>65</v>
      </c>
      <c r="AA109" s="78">
        <v>1.3535533905932737</v>
      </c>
      <c r="AB109" s="78">
        <v>1.3535533905932737</v>
      </c>
      <c r="AC109" s="77">
        <f t="shared" ca="1" si="3"/>
        <v>0.35355337492831479</v>
      </c>
      <c r="AD109" s="77">
        <f t="shared" ca="1" si="3"/>
        <v>0.3535533610444766</v>
      </c>
    </row>
    <row r="110" spans="1:30" ht="20" customHeight="1" x14ac:dyDescent="0.2">
      <c r="P110" s="19" t="s">
        <v>67</v>
      </c>
      <c r="Q110" s="19">
        <v>-0.35355341753861513</v>
      </c>
      <c r="R110" s="19">
        <v>-0.35355334825421841</v>
      </c>
      <c r="Z110" s="19" t="s">
        <v>66</v>
      </c>
      <c r="AA110" s="78">
        <v>0.64644660940672627</v>
      </c>
      <c r="AB110" s="78">
        <v>1.3535533905932737</v>
      </c>
      <c r="AC110" s="77">
        <f t="shared" ca="1" si="3"/>
        <v>-0.35355340898464327</v>
      </c>
      <c r="AD110" s="77">
        <f t="shared" ca="1" si="3"/>
        <v>0.35355336423811878</v>
      </c>
    </row>
    <row r="111" spans="1:30" ht="20" customHeight="1" x14ac:dyDescent="0.2">
      <c r="P111" s="19" t="s">
        <v>68</v>
      </c>
      <c r="Q111" s="19">
        <v>0.35355334521853282</v>
      </c>
      <c r="R111" s="19">
        <v>-0.35355340845198147</v>
      </c>
      <c r="Z111" s="19" t="s">
        <v>67</v>
      </c>
      <c r="AA111" s="78">
        <v>0.64644660940672616</v>
      </c>
      <c r="AB111" s="78">
        <v>0.64644660940672627</v>
      </c>
      <c r="AC111" s="77">
        <f t="shared" ca="1" si="3"/>
        <v>-0.35355339997244406</v>
      </c>
      <c r="AD111" s="77">
        <f t="shared" ca="1" si="3"/>
        <v>-0.35355338152795468</v>
      </c>
    </row>
    <row r="112" spans="1:30" ht="20" customHeight="1" x14ac:dyDescent="0.2">
      <c r="Z112" s="19" t="s">
        <v>68</v>
      </c>
      <c r="AA112" s="78">
        <v>1.3535533905932737</v>
      </c>
      <c r="AB112" s="78">
        <v>0.64644660940672616</v>
      </c>
      <c r="AC112" s="77">
        <f t="shared" ca="1" si="3"/>
        <v>0.35355338412417348</v>
      </c>
      <c r="AD112" s="77">
        <f t="shared" ca="1" si="3"/>
        <v>-0.35355334194616755</v>
      </c>
    </row>
    <row r="113" ht="20" customHeight="1" x14ac:dyDescent="0.2"/>
    <row r="114" ht="20" customHeight="1" x14ac:dyDescent="0.2"/>
    <row r="115" ht="20" customHeight="1" x14ac:dyDescent="0.2"/>
    <row r="116" ht="20" customHeight="1" x14ac:dyDescent="0.2"/>
    <row r="117" ht="20" customHeight="1" x14ac:dyDescent="0.2"/>
    <row r="118" ht="20" customHeight="1" x14ac:dyDescent="0.2"/>
    <row r="119" ht="20" customHeight="1" x14ac:dyDescent="0.2"/>
    <row r="120" ht="20" customHeight="1" x14ac:dyDescent="0.2"/>
    <row r="121" ht="20" customHeight="1" x14ac:dyDescent="0.2"/>
    <row r="122" ht="20" customHeight="1" x14ac:dyDescent="0.2"/>
    <row r="123" ht="20" customHeight="1" x14ac:dyDescent="0.2"/>
    <row r="124" ht="20" customHeight="1" x14ac:dyDescent="0.2"/>
    <row r="125" ht="20" customHeight="1" x14ac:dyDescent="0.2"/>
    <row r="126" ht="20" customHeight="1" x14ac:dyDescent="0.2"/>
  </sheetData>
  <sheetProtection algorithmName="SHA-512" hashValue="PTZ8EYgotQKUY/acb4Ypttew4/jTyDOSKZkpSfIDNRy40dOsZlgf+ICQWTrjk2T1kE8r6wX69E6XIvqcQdkNug==" saltValue="iR7HBsAoQwStUZppaGyPVg==" spinCount="100000" sheet="1" objects="1" scenarios="1" selectLockedCells="1"/>
  <phoneticPr fontId="10" type="noConversion"/>
  <hyperlinks>
    <hyperlink ref="I3" r:id="rId1" xr:uid="{A6B5C7FC-D1F6-4941-88DE-2A7E6DE031A6}"/>
  </hyperlinks>
  <pageMargins left="0.75000000000000011" right="0.75000000000000011" top="1" bottom="1" header="0.5" footer="0.5"/>
  <pageSetup paperSize="9" scale="69" orientation="portrait" horizontalDpi="4294967292" verticalDpi="4294967292"/>
  <drawing r:id="rId2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2842-C966-374F-A3CB-2628E44E2C58}">
  <dimension ref="A1:AA141"/>
  <sheetViews>
    <sheetView workbookViewId="0">
      <selection activeCell="C12" sqref="C12"/>
    </sheetView>
  </sheetViews>
  <sheetFormatPr baseColWidth="10" defaultRowHeight="16" x14ac:dyDescent="0.2"/>
  <cols>
    <col min="1" max="1" width="10.83203125" style="19"/>
    <col min="2" max="8" width="24.5" style="19" customWidth="1"/>
    <col min="9" max="9" width="10.83203125" style="19"/>
    <col min="10" max="10" width="10.83203125" style="19" customWidth="1"/>
    <col min="11" max="27" width="10.83203125" style="19" hidden="1" customWidth="1"/>
    <col min="28" max="29" width="10.83203125" style="19" customWidth="1"/>
    <col min="30" max="16384" width="10.83203125" style="19"/>
  </cols>
  <sheetData>
    <row r="1" spans="1:26" ht="24" x14ac:dyDescent="0.3">
      <c r="A1" s="18" t="s">
        <v>236</v>
      </c>
    </row>
    <row r="2" spans="1:26" ht="19" x14ac:dyDescent="0.25">
      <c r="A2" s="20" t="s">
        <v>124</v>
      </c>
    </row>
    <row r="4" spans="1:26" ht="21" x14ac:dyDescent="0.25">
      <c r="A4" s="37" t="s">
        <v>18</v>
      </c>
      <c r="B4" s="101" t="s">
        <v>238</v>
      </c>
    </row>
    <row r="6" spans="1:26" ht="21" x14ac:dyDescent="0.25">
      <c r="A6" s="102" t="s">
        <v>237</v>
      </c>
      <c r="B6" s="101" t="s">
        <v>254</v>
      </c>
    </row>
    <row r="9" spans="1:26" ht="19" x14ac:dyDescent="0.25">
      <c r="D9" s="103" t="s">
        <v>147</v>
      </c>
      <c r="E9" s="103" t="s">
        <v>145</v>
      </c>
      <c r="L9" s="104">
        <v>0.9</v>
      </c>
      <c r="M9" s="104">
        <v>-0.9</v>
      </c>
      <c r="N9" s="104">
        <v>-0.9</v>
      </c>
      <c r="O9" s="104">
        <v>0.9</v>
      </c>
    </row>
    <row r="10" spans="1:26" ht="19" x14ac:dyDescent="0.25">
      <c r="D10" s="103" t="s">
        <v>148</v>
      </c>
      <c r="E10" s="103" t="s">
        <v>146</v>
      </c>
      <c r="K10" s="105">
        <f>COUNTIF(K12:K21,"=true")</f>
        <v>10</v>
      </c>
      <c r="L10" s="104">
        <v>0.9</v>
      </c>
      <c r="M10" s="104">
        <v>0.9</v>
      </c>
      <c r="N10" s="104">
        <v>-0.9</v>
      </c>
      <c r="O10" s="104">
        <v>-0.9</v>
      </c>
    </row>
    <row r="11" spans="1:26" ht="19" x14ac:dyDescent="0.25">
      <c r="C11" s="103" t="s">
        <v>235</v>
      </c>
      <c r="D11" s="103" t="s">
        <v>153</v>
      </c>
      <c r="E11" s="103" t="s">
        <v>154</v>
      </c>
      <c r="W11" s="19" t="s">
        <v>149</v>
      </c>
      <c r="X11" s="19" t="s">
        <v>150</v>
      </c>
      <c r="Y11" s="19" t="s">
        <v>151</v>
      </c>
      <c r="Z11" s="19" t="s">
        <v>152</v>
      </c>
    </row>
    <row r="12" spans="1:26" ht="19" x14ac:dyDescent="0.25">
      <c r="C12" s="13" t="s">
        <v>135</v>
      </c>
      <c r="D12" s="16">
        <v>-1</v>
      </c>
      <c r="E12" s="16">
        <v>-0.33</v>
      </c>
      <c r="F12" s="106"/>
      <c r="G12" s="106"/>
      <c r="K12" s="19" t="b">
        <f>C12&lt;&gt;""</f>
        <v>1</v>
      </c>
      <c r="L12" s="107">
        <f>IF($K12,(((L$9-$D12)^2 + (L$10-$E12)^2)),"")</f>
        <v>5.1228999999999996</v>
      </c>
      <c r="M12" s="107">
        <f>IF($K12,(((M$9-$D12)^2 + (M$10-$E12)^2)),"")</f>
        <v>1.5228999999999999</v>
      </c>
      <c r="N12" s="107">
        <f>IF($K12,(((N$9-$D12)^2 + (N$10-$E12)^2)),"")</f>
        <v>0.33490000000000009</v>
      </c>
      <c r="O12" s="107">
        <f>IF($K12,(((O$9-$D12)^2 + (O$10-$E12)^2)),"")</f>
        <v>3.9348999999999998</v>
      </c>
      <c r="Q12" s="107">
        <f>IF($K12,RANK(L24,L$24:L$33),"")</f>
        <v>10</v>
      </c>
      <c r="R12" s="107">
        <f>IF($K12,RANK(M24,M$24:M$33),"")</f>
        <v>6</v>
      </c>
      <c r="S12" s="107">
        <f>IF($K12,RANK(N24,N$24:N$33),"")</f>
        <v>1</v>
      </c>
      <c r="T12" s="107">
        <f>IF($K12,RANK(O24,O$24:O$33),"")</f>
        <v>7</v>
      </c>
      <c r="V12" s="19">
        <v>1</v>
      </c>
      <c r="W12" s="19">
        <f>IF($K12,MATCH($V12,Q$12:Q$21,0),"")</f>
        <v>8</v>
      </c>
      <c r="X12" s="19">
        <f>IF($K12,MATCH($V12,R$12:R$21,0),"")</f>
        <v>7</v>
      </c>
      <c r="Y12" s="19">
        <f>IF($K12,MATCH($V12,S$12:S$21,0),"")</f>
        <v>1</v>
      </c>
      <c r="Z12" s="19">
        <f>IF($K12,MATCH($V12,T$12:T$21,0),"")</f>
        <v>6</v>
      </c>
    </row>
    <row r="13" spans="1:26" ht="19" x14ac:dyDescent="0.25">
      <c r="C13" s="13" t="s">
        <v>136</v>
      </c>
      <c r="D13" s="16">
        <v>-0.19</v>
      </c>
      <c r="E13" s="16">
        <v>-0.93</v>
      </c>
      <c r="K13" s="19" t="b">
        <f>C13&lt;&gt;""</f>
        <v>1</v>
      </c>
      <c r="L13" s="107">
        <f>IF($K13,(((L$9-$D13)^2 + (L$10-$E13)^2)),"")</f>
        <v>4.5370000000000008</v>
      </c>
      <c r="M13" s="107">
        <f>IF($K13,(((M$9-$D13)^2 + (M$10-$E13)^2)),"")</f>
        <v>3.8530000000000006</v>
      </c>
      <c r="N13" s="107">
        <f>IF($K13,(((N$9-$D13)^2 + (N$10-$E13)^2)),"")</f>
        <v>0.505</v>
      </c>
      <c r="O13" s="107">
        <f>IF($K13,(((O$9-$D13)^2 + (O$10-$E13)^2)),"")</f>
        <v>1.1890000000000001</v>
      </c>
      <c r="Q13" s="107">
        <f>IF($K13,RANK(L25,L$24:L$33),"")</f>
        <v>9</v>
      </c>
      <c r="R13" s="107">
        <f>IF($K13,RANK(M25,M$24:M$33),"")</f>
        <v>9</v>
      </c>
      <c r="S13" s="107">
        <f>IF($K13,RANK(N25,N$24:N$33),"")</f>
        <v>2</v>
      </c>
      <c r="T13" s="107">
        <f>IF($K13,RANK(O25,O$24:O$33),"")</f>
        <v>2</v>
      </c>
      <c r="V13" s="19">
        <v>2</v>
      </c>
      <c r="W13" s="19">
        <f>IF($K13,MATCH($V13,Q$12:Q$21,0),"")</f>
        <v>3</v>
      </c>
      <c r="X13" s="19">
        <f>IF($K13,MATCH($V13,R$12:R$21,0),"")</f>
        <v>4</v>
      </c>
      <c r="Y13" s="19">
        <f>IF($K13,MATCH($V13,S$12:S$21,0),"")</f>
        <v>2</v>
      </c>
      <c r="Z13" s="19">
        <f>IF($K13,MATCH($V13,T$12:T$21,0),"")</f>
        <v>2</v>
      </c>
    </row>
    <row r="14" spans="1:26" ht="19" x14ac:dyDescent="0.25">
      <c r="C14" s="13" t="s">
        <v>137</v>
      </c>
      <c r="D14" s="16">
        <v>0.33</v>
      </c>
      <c r="E14" s="16">
        <v>0.52</v>
      </c>
      <c r="K14" s="19" t="b">
        <f>C14&lt;&gt;""</f>
        <v>1</v>
      </c>
      <c r="L14" s="107">
        <f>IF($K14,(((L$9-$D14)^2 + (L$10-$E14)^2)),"")</f>
        <v>0.46930000000000005</v>
      </c>
      <c r="M14" s="107">
        <f>IF($K14,(((M$9-$D14)^2 + (M$10-$E14)^2)),"")</f>
        <v>1.6573</v>
      </c>
      <c r="N14" s="107">
        <f>IF($K14,(((N$9-$D14)^2 + (N$10-$E14)^2)),"")</f>
        <v>3.5293000000000001</v>
      </c>
      <c r="O14" s="107">
        <f>IF($K14,(((O$9-$D14)^2 + (O$10-$E14)^2)),"")</f>
        <v>2.3412999999999999</v>
      </c>
      <c r="Q14" s="107">
        <f>IF($K14,RANK(L26,L$24:L$33),"")</f>
        <v>2</v>
      </c>
      <c r="R14" s="107">
        <f>IF($K14,RANK(M26,M$24:M$33),"")</f>
        <v>7</v>
      </c>
      <c r="S14" s="107">
        <f>IF($K14,RANK(N26,N$24:N$33),"")</f>
        <v>8</v>
      </c>
      <c r="T14" s="107">
        <f>IF($K14,RANK(O26,O$24:O$33),"")</f>
        <v>4</v>
      </c>
      <c r="V14" s="19">
        <v>3</v>
      </c>
      <c r="W14" s="19">
        <f>IF($K14,MATCH($V14,Q$12:Q$21,0),"")</f>
        <v>9</v>
      </c>
      <c r="X14" s="19">
        <f>IF($K14,MATCH($V14,R$12:R$21,0),"")</f>
        <v>5</v>
      </c>
      <c r="Y14" s="19">
        <f>IF($K14,MATCH($V14,S$12:S$21,0),"")</f>
        <v>10</v>
      </c>
      <c r="Z14" s="19">
        <f>IF($K14,MATCH($V14,T$12:T$21,0),"")</f>
        <v>8</v>
      </c>
    </row>
    <row r="15" spans="1:26" ht="19" x14ac:dyDescent="0.25">
      <c r="C15" s="13" t="s">
        <v>138</v>
      </c>
      <c r="D15" s="16">
        <v>-0.97</v>
      </c>
      <c r="E15" s="16">
        <v>0.46</v>
      </c>
      <c r="K15" s="19" t="b">
        <f>C15&lt;&gt;""</f>
        <v>1</v>
      </c>
      <c r="L15" s="107">
        <f>IF($K15,(((L$9-$D15)^2 + (L$10-$E15)^2)),"")</f>
        <v>3.6905000000000006</v>
      </c>
      <c r="M15" s="107">
        <f>IF($K15,(((M$9-$D15)^2 + (M$10-$E15)^2)),"")</f>
        <v>0.19849999999999998</v>
      </c>
      <c r="N15" s="107">
        <f>IF($K15,(((N$9-$D15)^2 + (N$10-$E15)^2)),"")</f>
        <v>1.8545000000000003</v>
      </c>
      <c r="O15" s="107">
        <f>IF($K15,(((O$9-$D15)^2 + (O$10-$E15)^2)),"")</f>
        <v>5.3465000000000007</v>
      </c>
      <c r="Q15" s="107">
        <f>IF($K15,RANK(L27,L$24:L$33),"")</f>
        <v>8</v>
      </c>
      <c r="R15" s="107">
        <f>IF($K15,RANK(M27,M$24:M$33),"")</f>
        <v>2</v>
      </c>
      <c r="S15" s="107">
        <f>IF($K15,RANK(N27,N$24:N$33),"")</f>
        <v>5</v>
      </c>
      <c r="T15" s="107">
        <f>IF($K15,RANK(O27,O$24:O$33),"")</f>
        <v>9</v>
      </c>
      <c r="V15" s="19">
        <v>4</v>
      </c>
      <c r="W15" s="19">
        <f>IF($K15,MATCH($V15,Q$12:Q$21,0),"")</f>
        <v>5</v>
      </c>
      <c r="X15" s="19">
        <f>IF($K15,MATCH($V15,R$12:R$21,0),"")</f>
        <v>10</v>
      </c>
      <c r="Y15" s="19">
        <f>IF($K15,MATCH($V15,S$12:S$21,0),"")</f>
        <v>5</v>
      </c>
      <c r="Z15" s="19">
        <f>IF($K15,MATCH($V15,T$12:T$21,0),"")</f>
        <v>3</v>
      </c>
    </row>
    <row r="16" spans="1:26" ht="19" x14ac:dyDescent="0.25">
      <c r="C16" s="13" t="s">
        <v>139</v>
      </c>
      <c r="D16" s="16">
        <v>-0.82</v>
      </c>
      <c r="E16" s="16">
        <v>0.23</v>
      </c>
      <c r="K16" s="19" t="b">
        <f>C16&lt;&gt;""</f>
        <v>1</v>
      </c>
      <c r="L16" s="107">
        <f>IF($K16,(((L$9-$D16)^2 + (L$10-$E16)^2)),"")</f>
        <v>3.4072999999999998</v>
      </c>
      <c r="M16" s="107">
        <f>IF($K16,(((M$9-$D16)^2 + (M$10-$E16)^2)),"")</f>
        <v>0.45530000000000009</v>
      </c>
      <c r="N16" s="107">
        <f>IF($K16,(((N$9-$D16)^2 + (N$10-$E16)^2)),"")</f>
        <v>1.2833000000000003</v>
      </c>
      <c r="O16" s="107">
        <f>IF($K16,(((O$9-$D16)^2 + (O$10-$E16)^2)),"")</f>
        <v>4.2353000000000005</v>
      </c>
      <c r="Q16" s="107">
        <f>IF($K16,RANK(L28,L$24:L$33),"")</f>
        <v>4</v>
      </c>
      <c r="R16" s="107">
        <f>IF($K16,RANK(M28,M$24:M$33),"")</f>
        <v>3</v>
      </c>
      <c r="S16" s="107">
        <f>IF($K16,RANK(N28,N$24:N$33),"")</f>
        <v>4</v>
      </c>
      <c r="T16" s="107">
        <f>IF($K16,RANK(O28,O$24:O$33),"")</f>
        <v>8</v>
      </c>
      <c r="V16" s="19">
        <v>5</v>
      </c>
      <c r="W16" s="19">
        <f>IF($K16,MATCH($V16,Q$12:Q$21,0),"")</f>
        <v>6</v>
      </c>
      <c r="X16" s="19">
        <f>IF($K16,MATCH($V16,R$12:R$21,0),"")</f>
        <v>9</v>
      </c>
      <c r="Y16" s="19">
        <f>IF($K16,MATCH($V16,S$12:S$21,0),"")</f>
        <v>4</v>
      </c>
      <c r="Z16" s="19">
        <f>IF($K16,MATCH($V16,T$12:T$21,0),"")</f>
        <v>9</v>
      </c>
    </row>
    <row r="17" spans="2:27" ht="19" x14ac:dyDescent="0.25">
      <c r="C17" s="13" t="s">
        <v>140</v>
      </c>
      <c r="D17" s="16">
        <v>0.47</v>
      </c>
      <c r="E17" s="16">
        <v>-0.9</v>
      </c>
      <c r="K17" s="19" t="b">
        <f>C17&lt;&gt;""</f>
        <v>1</v>
      </c>
      <c r="L17" s="107">
        <f>IF($K17,(((L$9-$D17)^2 + (L$10-$E17)^2)),"")</f>
        <v>3.4249000000000001</v>
      </c>
      <c r="M17" s="107">
        <f>IF($K17,(((M$9-$D17)^2 + (M$10-$E17)^2)),"")</f>
        <v>5.1169000000000002</v>
      </c>
      <c r="N17" s="107">
        <f>IF($K17,(((N$9-$D17)^2 + (N$10-$E17)^2)),"")</f>
        <v>1.8769000000000002</v>
      </c>
      <c r="O17" s="107">
        <f>IF($K17,(((O$9-$D17)^2 + (O$10-$E17)^2)),"")</f>
        <v>0.18490000000000004</v>
      </c>
      <c r="Q17" s="107">
        <f>IF($K17,RANK(L29,L$24:L$33),"")</f>
        <v>5</v>
      </c>
      <c r="R17" s="107">
        <f>IF($K17,RANK(M29,M$24:M$33),"")</f>
        <v>10</v>
      </c>
      <c r="S17" s="107">
        <f>IF($K17,RANK(N29,N$24:N$33),"")</f>
        <v>6</v>
      </c>
      <c r="T17" s="107">
        <f>IF($K17,RANK(O29,O$24:O$33),"")</f>
        <v>1</v>
      </c>
      <c r="V17" s="19">
        <v>6</v>
      </c>
      <c r="W17" s="19">
        <f>IF($K17,MATCH($V17,Q$12:Q$21,0),"")</f>
        <v>7</v>
      </c>
      <c r="X17" s="19">
        <f>IF($K17,MATCH($V17,R$12:R$21,0),"")</f>
        <v>1</v>
      </c>
      <c r="Y17" s="19">
        <f>IF($K17,MATCH($V17,S$12:S$21,0),"")</f>
        <v>6</v>
      </c>
      <c r="Z17" s="19">
        <f>IF($K17,MATCH($V17,T$12:T$21,0),"")</f>
        <v>10</v>
      </c>
    </row>
    <row r="18" spans="2:27" ht="19" x14ac:dyDescent="0.25">
      <c r="C18" s="13" t="s">
        <v>141</v>
      </c>
      <c r="D18" s="16">
        <v>-0.96</v>
      </c>
      <c r="E18" s="16">
        <v>0.74</v>
      </c>
      <c r="K18" s="19" t="b">
        <f>C18&lt;&gt;""</f>
        <v>1</v>
      </c>
      <c r="L18" s="107">
        <f>IF($K18,(((L$9-$D18)^2 + (L$10-$E18)^2)),"")</f>
        <v>3.4851999999999994</v>
      </c>
      <c r="M18" s="107">
        <f>IF($K18,(((M$9-$D18)^2 + (M$10-$E18)^2)),"")</f>
        <v>2.9200000000000004E-2</v>
      </c>
      <c r="N18" s="107">
        <f>IF($K18,(((N$9-$D18)^2 + (N$10-$E18)^2)),"")</f>
        <v>2.6932000000000005</v>
      </c>
      <c r="O18" s="107">
        <f>IF($K18,(((O$9-$D18)^2 + (O$10-$E18)^2)),"")</f>
        <v>6.1492000000000004</v>
      </c>
      <c r="Q18" s="107">
        <f>IF($K18,RANK(L30,L$24:L$33),"")</f>
        <v>6</v>
      </c>
      <c r="R18" s="107">
        <f>IF($K18,RANK(M30,M$24:M$33),"")</f>
        <v>1</v>
      </c>
      <c r="S18" s="107">
        <f>IF($K18,RANK(N30,N$24:N$33),"")</f>
        <v>7</v>
      </c>
      <c r="T18" s="107">
        <f>IF($K18,RANK(O30,O$24:O$33),"")</f>
        <v>10</v>
      </c>
      <c r="V18" s="19">
        <v>7</v>
      </c>
      <c r="W18" s="19">
        <f>IF($K18,MATCH($V18,Q$12:Q$21,0),"")</f>
        <v>10</v>
      </c>
      <c r="X18" s="19">
        <f>IF($K18,MATCH($V18,R$12:R$21,0),"")</f>
        <v>3</v>
      </c>
      <c r="Y18" s="19">
        <f>IF($K18,MATCH($V18,S$12:S$21,0),"")</f>
        <v>7</v>
      </c>
      <c r="Z18" s="19">
        <f>IF($K18,MATCH($V18,T$12:T$21,0),"")</f>
        <v>1</v>
      </c>
    </row>
    <row r="19" spans="2:27" ht="19" x14ac:dyDescent="0.25">
      <c r="C19" s="13" t="s">
        <v>142</v>
      </c>
      <c r="D19" s="16">
        <v>0.97</v>
      </c>
      <c r="E19" s="16">
        <v>0.39</v>
      </c>
      <c r="K19" s="19" t="b">
        <f>C19&lt;&gt;""</f>
        <v>1</v>
      </c>
      <c r="L19" s="107">
        <f>IF($K19,(((L$9-$D19)^2 + (L$10-$E19)^2)),"")</f>
        <v>0.26500000000000001</v>
      </c>
      <c r="M19" s="107">
        <f>IF($K19,(((M$9-$D19)^2 + (M$10-$E19)^2)),"")</f>
        <v>3.7570000000000006</v>
      </c>
      <c r="N19" s="107">
        <f>IF($K19,(((N$9-$D19)^2 + (N$10-$E19)^2)),"")</f>
        <v>5.1610000000000005</v>
      </c>
      <c r="O19" s="107">
        <f>IF($K19,(((O$9-$D19)^2 + (O$10-$E19)^2)),"")</f>
        <v>1.669</v>
      </c>
      <c r="Q19" s="107">
        <f>IF($K19,RANK(L31,L$24:L$33),"")</f>
        <v>1</v>
      </c>
      <c r="R19" s="107">
        <f>IF($K19,RANK(M31,M$24:M$33),"")</f>
        <v>8</v>
      </c>
      <c r="S19" s="107">
        <f>IF($K19,RANK(N31,N$24:N$33),"")</f>
        <v>10</v>
      </c>
      <c r="T19" s="107">
        <f>IF($K19,RANK(O31,O$24:O$33),"")</f>
        <v>3</v>
      </c>
      <c r="V19" s="19">
        <v>8</v>
      </c>
      <c r="W19" s="19">
        <f>IF($K19,MATCH($V19,Q$12:Q$21,0),"")</f>
        <v>4</v>
      </c>
      <c r="X19" s="19">
        <f>IF($K19,MATCH($V19,R$12:R$21,0),"")</f>
        <v>8</v>
      </c>
      <c r="Y19" s="19">
        <f>IF($K19,MATCH($V19,S$12:S$21,0),"")</f>
        <v>3</v>
      </c>
      <c r="Z19" s="19">
        <f>IF($K19,MATCH($V19,T$12:T$21,0),"")</f>
        <v>5</v>
      </c>
    </row>
    <row r="20" spans="2:27" ht="19" x14ac:dyDescent="0.25">
      <c r="C20" s="13" t="s">
        <v>143</v>
      </c>
      <c r="D20" s="16">
        <v>0.16</v>
      </c>
      <c r="E20" s="16">
        <v>0.89</v>
      </c>
      <c r="K20" s="19" t="b">
        <f>C20&lt;&gt;""</f>
        <v>1</v>
      </c>
      <c r="L20" s="107">
        <f>IF($K20,(((L$9-$D20)^2 + (L$10-$E20)^2)),"")</f>
        <v>0.54769999999999996</v>
      </c>
      <c r="M20" s="107">
        <f>IF($K20,(((M$9-$D20)^2 + (M$10-$E20)^2)),"")</f>
        <v>1.1237000000000001</v>
      </c>
      <c r="N20" s="107">
        <f>IF($K20,(((N$9-$D20)^2 + (N$10-$E20)^2)),"")</f>
        <v>4.3277000000000001</v>
      </c>
      <c r="O20" s="107">
        <f>IF($K20,(((O$9-$D20)^2 + (O$10-$E20)^2)),"")</f>
        <v>3.7517</v>
      </c>
      <c r="Q20" s="107">
        <f>IF($K20,RANK(L32,L$24:L$33),"")</f>
        <v>3</v>
      </c>
      <c r="R20" s="107">
        <f>IF($K20,RANK(M32,M$24:M$33),"")</f>
        <v>5</v>
      </c>
      <c r="S20" s="107">
        <f>IF($K20,RANK(N32,N$24:N$33),"")</f>
        <v>9</v>
      </c>
      <c r="T20" s="107">
        <f>IF($K20,RANK(O32,O$24:O$33),"")</f>
        <v>5</v>
      </c>
      <c r="V20" s="19">
        <v>9</v>
      </c>
      <c r="W20" s="19">
        <f>IF($K20,MATCH($V20,Q$12:Q$21,0),"")</f>
        <v>2</v>
      </c>
      <c r="X20" s="19">
        <f>IF($K20,MATCH($V20,R$12:R$21,0),"")</f>
        <v>2</v>
      </c>
      <c r="Y20" s="19">
        <f>IF($K20,MATCH($V20,S$12:S$21,0),"")</f>
        <v>9</v>
      </c>
      <c r="Z20" s="19">
        <f>IF($K20,MATCH($V20,T$12:T$21,0),"")</f>
        <v>4</v>
      </c>
    </row>
    <row r="21" spans="2:27" ht="19" x14ac:dyDescent="0.25">
      <c r="C21" s="13" t="s">
        <v>144</v>
      </c>
      <c r="D21" s="16">
        <v>-0.81</v>
      </c>
      <c r="E21" s="16">
        <v>7.0000000000000007E-2</v>
      </c>
      <c r="K21" s="19" t="b">
        <f>C21&lt;&gt;""</f>
        <v>1</v>
      </c>
      <c r="L21" s="107">
        <f>IF($K21,(((L$9-$D21)^2 + (L$10-$E21)^2)),"")</f>
        <v>3.6129999999999995</v>
      </c>
      <c r="M21" s="107">
        <f>IF($K21,(((M$9-$D21)^2 + (M$10-$E21)^2)),"")</f>
        <v>0.69700000000000006</v>
      </c>
      <c r="N21" s="107">
        <f>IF($K21,(((N$9-$D21)^2 + (N$10-$E21)^2)),"")</f>
        <v>0.94899999999999995</v>
      </c>
      <c r="O21" s="107">
        <f>IF($K21,(((O$9-$D21)^2 + (O$10-$E21)^2)),"")</f>
        <v>3.8649999999999998</v>
      </c>
      <c r="Q21" s="107">
        <f>IF($K21,RANK(L33,L$24:L$33),"")</f>
        <v>7</v>
      </c>
      <c r="R21" s="107">
        <f>IF($K21,RANK(M33,M$24:M$33),"")</f>
        <v>4</v>
      </c>
      <c r="S21" s="107">
        <f>IF($K21,RANK(N33,N$24:N$33),"")</f>
        <v>3</v>
      </c>
      <c r="T21" s="107">
        <f>IF($K21,RANK(O33,O$24:O$33),"")</f>
        <v>6</v>
      </c>
      <c r="V21" s="19">
        <v>10</v>
      </c>
      <c r="W21" s="19">
        <f>IF($K21,MATCH($V21,Q$12:Q$21,0),"")</f>
        <v>1</v>
      </c>
      <c r="X21" s="19">
        <f>IF($K21,MATCH($V21,R$12:R$21,0),"")</f>
        <v>6</v>
      </c>
      <c r="Y21" s="19">
        <f>IF($K21,MATCH($V21,S$12:S$21,0),"")</f>
        <v>8</v>
      </c>
      <c r="Z21" s="19">
        <f>IF($K21,MATCH($V21,T$12:T$21,0),"")</f>
        <v>7</v>
      </c>
    </row>
    <row r="24" spans="2:27" x14ac:dyDescent="0.2">
      <c r="L24" s="108">
        <f>IF($K12,IF(L12&lt;1/10,10,1/L12),"")</f>
        <v>0.19520193640320913</v>
      </c>
      <c r="M24" s="108">
        <f>IF($K12,IF(M12&lt;1/10,10,1/M12),"")</f>
        <v>0.65664193315385122</v>
      </c>
      <c r="N24" s="108">
        <f>IF($K12,IF(N12&lt;1/10,10,1/N12),"")</f>
        <v>2.9859659599880555</v>
      </c>
      <c r="O24" s="108">
        <f>IF($K12,IF(O12&lt;1/10,10,1/O12),"")</f>
        <v>0.25413606444890596</v>
      </c>
    </row>
    <row r="25" spans="2:27" ht="21" x14ac:dyDescent="0.2">
      <c r="B25" s="101" t="s">
        <v>247</v>
      </c>
      <c r="L25" s="108">
        <f>IF($K13,IF(L13&lt;1/10,10,1/L13),"")</f>
        <v>0.22040996253030634</v>
      </c>
      <c r="M25" s="108">
        <f>IF($K13,IF(M13&lt;1/10,10,1/M13),"")</f>
        <v>0.2595380223202699</v>
      </c>
      <c r="N25" s="108">
        <f>IF($K13,IF(N13&lt;1/10,10,1/N13),"")</f>
        <v>1.9801980198019802</v>
      </c>
      <c r="O25" s="108">
        <f>IF($K13,IF(O13&lt;1/10,10,1/O13),"")</f>
        <v>0.84104289318755254</v>
      </c>
    </row>
    <row r="26" spans="2:27" x14ac:dyDescent="0.2">
      <c r="L26" s="108">
        <f>IF($K14,IF(L14&lt;1/10,10,1/L14),"")</f>
        <v>2.1308331557639035</v>
      </c>
      <c r="M26" s="108">
        <f>IF($K14,IF(M14&lt;1/10,10,1/M14),"")</f>
        <v>0.60339105774452417</v>
      </c>
      <c r="N26" s="108">
        <f>IF($K14,IF(N14&lt;1/10,10,1/N14),"")</f>
        <v>0.28334230583968489</v>
      </c>
      <c r="O26" s="108">
        <f>IF($K14,IF(O14&lt;1/10,10,1/O14),"")</f>
        <v>0.42711314227138769</v>
      </c>
    </row>
    <row r="27" spans="2:27" x14ac:dyDescent="0.2">
      <c r="L27" s="108">
        <f>IF($K15,IF(L15&lt;1/10,10,1/L15),"")</f>
        <v>0.27096599376778208</v>
      </c>
      <c r="M27" s="108">
        <f>IF($K15,IF(M15&lt;1/10,10,1/M15),"")</f>
        <v>5.037783375314862</v>
      </c>
      <c r="N27" s="108">
        <f>IF($K15,IF(N15&lt;1/10,10,1/N15),"")</f>
        <v>0.539228902669183</v>
      </c>
      <c r="O27" s="108">
        <f>IF($K15,IF(O15&lt;1/10,10,1/O15),"")</f>
        <v>0.18703824932198632</v>
      </c>
    </row>
    <row r="28" spans="2:27" x14ac:dyDescent="0.2">
      <c r="L28" s="108">
        <f>IF($K16,IF(L16&lt;1/10,10,1/L16),"")</f>
        <v>0.29348751210635987</v>
      </c>
      <c r="M28" s="108">
        <f>IF($K16,IF(M16&lt;1/10,10,1/M16),"")</f>
        <v>2.1963540522732261</v>
      </c>
      <c r="N28" s="108">
        <f>IF($K16,IF(N16&lt;1/10,10,1/N16),"")</f>
        <v>0.77924101924725298</v>
      </c>
      <c r="O28" s="108">
        <f>IF($K16,IF(O16&lt;1/10,10,1/O16),"")</f>
        <v>0.23611078317946776</v>
      </c>
    </row>
    <row r="29" spans="2:27" x14ac:dyDescent="0.2">
      <c r="L29" s="108">
        <f>IF($K17,IF(L17&lt;1/10,10,1/L17),"")</f>
        <v>0.29197932786358727</v>
      </c>
      <c r="M29" s="108">
        <f>IF($K17,IF(M17&lt;1/10,10,1/M17),"")</f>
        <v>0.19543082725869176</v>
      </c>
      <c r="N29" s="108">
        <f>IF($K17,IF(N17&lt;1/10,10,1/N17),"")</f>
        <v>0.53279343598486861</v>
      </c>
      <c r="O29" s="108">
        <f>IF($K17,IF(O17&lt;1/10,10,1/O17),"")</f>
        <v>5.4083288263926432</v>
      </c>
      <c r="V29" s="109" t="str">
        <f>X11</f>
        <v>People+Vision</v>
      </c>
      <c r="Z29" s="109" t="str">
        <f>W11</f>
        <v>Task+Vision</v>
      </c>
    </row>
    <row r="30" spans="2:27" x14ac:dyDescent="0.2">
      <c r="L30" s="108">
        <f>IF($K18,IF(L18&lt;1/10,10,1/L18),"")</f>
        <v>0.28692757947893954</v>
      </c>
      <c r="M30" s="108">
        <f>IF($K18,IF(M18&lt;1/10,10,1/M18),"")</f>
        <v>10</v>
      </c>
      <c r="N30" s="108">
        <f>IF($K18,IF(N18&lt;1/10,10,1/N18),"")</f>
        <v>0.37130551017377089</v>
      </c>
      <c r="O30" s="108">
        <f>IF($K18,IF(O18&lt;1/10,10,1/O18),"")</f>
        <v>0.16262278019905027</v>
      </c>
      <c r="V30" s="19" t="str" cm="1">
        <f t="array" ref="V30">IF($K12,INDEX($C$12:$C$21,X12),"")</f>
        <v>Kaisley Martin</v>
      </c>
      <c r="W30" s="77" cm="1">
        <f t="array" ref="W30">IF($K12,INDEX($M$24:$M$33,X12),"")</f>
        <v>10</v>
      </c>
      <c r="Z30" s="19" t="str" cm="1">
        <f t="array" ref="Z30">IF($K12,INDEX($C$12:$C$21,W12),"")</f>
        <v>Liam Moore</v>
      </c>
      <c r="AA30" s="77" cm="1">
        <f t="array" ref="AA30">IF($K12,INDEX($L$24:$L$33,W12),"")</f>
        <v>3.773584905660377</v>
      </c>
    </row>
    <row r="31" spans="2:27" x14ac:dyDescent="0.2">
      <c r="L31" s="108">
        <f>IF($K19,IF(L19&lt;1/10,10,1/L19),"")</f>
        <v>3.773584905660377</v>
      </c>
      <c r="M31" s="108">
        <f>IF($K19,IF(M19&lt;1/10,10,1/M19),"")</f>
        <v>0.26616981634282666</v>
      </c>
      <c r="N31" s="108">
        <f>IF($K19,IF(N19&lt;1/10,10,1/N19),"")</f>
        <v>0.19376089905057159</v>
      </c>
      <c r="O31" s="108">
        <f>IF($K19,IF(O19&lt;1/10,10,1/O19),"")</f>
        <v>0.59916117435590177</v>
      </c>
      <c r="V31" s="19" t="str" cm="1">
        <f t="array" ref="V31">IF($K13,INDEX($C$12:$C$21,X13),"")</f>
        <v>Ainhoa Garcia</v>
      </c>
      <c r="W31" s="77" cm="1">
        <f t="array" ref="W31">IF($K13,INDEX($M$24:$M$33,X13),"")</f>
        <v>5.037783375314862</v>
      </c>
      <c r="Z31" s="19" t="str" cm="1">
        <f t="array" ref="Z31">IF($K13,INDEX($C$12:$C$21,W13),"")</f>
        <v>Oakleigh Davis</v>
      </c>
      <c r="AA31" s="77" cm="1">
        <f t="array" ref="AA31">IF($K13,INDEX($L$24:$L$33,W13),"")</f>
        <v>2.1308331557639035</v>
      </c>
    </row>
    <row r="32" spans="2:27" x14ac:dyDescent="0.2">
      <c r="L32" s="108">
        <f>IF($K20,IF(L20&lt;1/10,10,1/L20),"")</f>
        <v>1.8258170531312763</v>
      </c>
      <c r="M32" s="108">
        <f>IF($K20,IF(M20&lt;1/10,10,1/M20),"")</f>
        <v>0.88991723769689413</v>
      </c>
      <c r="N32" s="108">
        <f>IF($K20,IF(N20&lt;1/10,10,1/N20),"")</f>
        <v>0.23106962127689074</v>
      </c>
      <c r="O32" s="108">
        <f>IF($K20,IF(O20&lt;1/10,10,1/O20),"")</f>
        <v>0.26654583255590797</v>
      </c>
      <c r="V32" s="19" t="str" cm="1">
        <f t="array" ref="V32">IF($K14,INDEX($C$12:$C$21,X14),"")</f>
        <v>Salem Harris</v>
      </c>
      <c r="W32" s="77" cm="1">
        <f t="array" ref="W32">IF($K14,INDEX($M$24:$M$33,X14),"")</f>
        <v>2.1963540522732261</v>
      </c>
      <c r="Z32" s="19" t="str" cm="1">
        <f t="array" ref="Z32">IF($K14,INDEX($C$12:$C$21,W14),"")</f>
        <v>Noah Taylor</v>
      </c>
      <c r="AA32" s="77" cm="1">
        <f t="array" ref="AA32">IF($K14,INDEX($L$24:$L$33,W14),"")</f>
        <v>1.8258170531312763</v>
      </c>
    </row>
    <row r="33" spans="12:27" x14ac:dyDescent="0.2">
      <c r="L33" s="108">
        <f>IF($K21,IF(L21&lt;1/10,10,1/L21),"")</f>
        <v>0.27677830058123448</v>
      </c>
      <c r="M33" s="108">
        <f>IF($K21,IF(M21&lt;1/10,10,1/M21),"")</f>
        <v>1.4347202295552366</v>
      </c>
      <c r="N33" s="108">
        <f>IF($K21,IF(N21&lt;1/10,10,1/N21),"")</f>
        <v>1.053740779768177</v>
      </c>
      <c r="O33" s="108">
        <f>IF($K21,IF(O21&lt;1/10,10,1/O21),"")</f>
        <v>0.25873221216041398</v>
      </c>
      <c r="V33" s="19" t="str" cm="1">
        <f t="array" ref="V33">IF($K15,INDEX($C$12:$C$21,X15),"")</f>
        <v>William Thomas</v>
      </c>
      <c r="W33" s="77" cm="1">
        <f t="array" ref="W33">IF($K15,INDEX($M$24:$M$33,X15),"")</f>
        <v>1.4347202295552366</v>
      </c>
      <c r="Z33" s="19" t="str" cm="1">
        <f t="array" ref="Z33">IF($K15,INDEX($C$12:$C$21,W15),"")</f>
        <v>Salem Harris</v>
      </c>
      <c r="AA33" s="77" cm="1">
        <f t="array" ref="AA33">IF($K15,INDEX($L$24:$L$33,W15),"")</f>
        <v>0.29348751210635987</v>
      </c>
    </row>
    <row r="34" spans="12:27" x14ac:dyDescent="0.2">
      <c r="V34" s="19" t="str" cm="1">
        <f t="array" ref="V34">IF($K16,INDEX($C$12:$C$21,X16),"")</f>
        <v>Noah Taylor</v>
      </c>
      <c r="W34" s="77" cm="1">
        <f t="array" ref="W34">IF($K16,INDEX($M$24:$M$33,X16),"")</f>
        <v>0.88991723769689413</v>
      </c>
      <c r="Z34" s="19" t="str" cm="1">
        <f t="array" ref="Z34">IF($K16,INDEX($C$12:$C$21,W16),"")</f>
        <v>Lyanna Jackson</v>
      </c>
      <c r="AA34" s="77" cm="1">
        <f t="array" ref="AA34">IF($K16,INDEX($L$24:$L$33,W16),"")</f>
        <v>0.29197932786358727</v>
      </c>
    </row>
    <row r="35" spans="12:27" x14ac:dyDescent="0.2">
      <c r="V35" s="19" t="str" cm="1">
        <f t="array" ref="V35">IF($K17,INDEX($C$12:$C$21,X17),"")</f>
        <v>Russell Crowe</v>
      </c>
      <c r="W35" s="77" cm="1">
        <f t="array" ref="W35">IF($K17,INDEX($M$24:$M$33,X17),"")</f>
        <v>0.65664193315385122</v>
      </c>
      <c r="Z35" s="19" t="str" cm="1">
        <f t="array" ref="Z35">IF($K17,INDEX($C$12:$C$21,W17),"")</f>
        <v>Kaisley Martin</v>
      </c>
      <c r="AA35" s="77" cm="1">
        <f t="array" ref="AA35">IF($K17,INDEX($L$24:$L$33,W17),"")</f>
        <v>0.28692757947893954</v>
      </c>
    </row>
    <row r="36" spans="12:27" x14ac:dyDescent="0.2">
      <c r="L36" s="110">
        <f t="shared" ref="L36:O37" si="0">L9/2</f>
        <v>0.45</v>
      </c>
      <c r="M36" s="110">
        <f t="shared" si="0"/>
        <v>-0.45</v>
      </c>
      <c r="N36" s="110">
        <f t="shared" si="0"/>
        <v>-0.45</v>
      </c>
      <c r="O36" s="110">
        <f t="shared" si="0"/>
        <v>0.45</v>
      </c>
      <c r="V36" s="19" t="str" cm="1">
        <f t="array" ref="V36">IF($K18,INDEX($C$12:$C$21,X18),"")</f>
        <v>Oakleigh Davis</v>
      </c>
      <c r="W36" s="77" cm="1">
        <f t="array" ref="W36">IF($K18,INDEX($M$24:$M$33,X18),"")</f>
        <v>0.60339105774452417</v>
      </c>
      <c r="Z36" s="19" t="str" cm="1">
        <f t="array" ref="Z36">IF($K18,INDEX($C$12:$C$21,W18),"")</f>
        <v>William Thomas</v>
      </c>
      <c r="AA36" s="77" cm="1">
        <f t="array" ref="AA36">IF($K18,INDEX($L$24:$L$33,W18),"")</f>
        <v>0.27677830058123448</v>
      </c>
    </row>
    <row r="37" spans="12:27" x14ac:dyDescent="0.2">
      <c r="L37" s="110">
        <f t="shared" si="0"/>
        <v>0.45</v>
      </c>
      <c r="M37" s="110">
        <f t="shared" si="0"/>
        <v>0.45</v>
      </c>
      <c r="N37" s="110">
        <f t="shared" si="0"/>
        <v>-0.45</v>
      </c>
      <c r="O37" s="110">
        <f t="shared" si="0"/>
        <v>-0.45</v>
      </c>
      <c r="V37" s="19" t="str" cm="1">
        <f t="array" ref="V37">IF($K19,INDEX($C$12:$C$21,X19),"")</f>
        <v>Liam Moore</v>
      </c>
      <c r="W37" s="77" cm="1">
        <f t="array" ref="W37">IF($K19,INDEX($M$24:$M$33,X19),"")</f>
        <v>0.26616981634282666</v>
      </c>
      <c r="Z37" s="19" t="str" cm="1">
        <f t="array" ref="Z37">IF($K19,INDEX($C$12:$C$21,W19),"")</f>
        <v>Ainhoa Garcia</v>
      </c>
      <c r="AA37" s="77" cm="1">
        <f t="array" ref="AA37">IF($K19,INDEX($L$24:$L$33,W19),"")</f>
        <v>0.27096599376778208</v>
      </c>
    </row>
    <row r="38" spans="12:27" x14ac:dyDescent="0.2">
      <c r="L38" s="107">
        <f>(AVERAGE(L24:L33))^2</f>
        <v>0.91508082934658119</v>
      </c>
      <c r="M38" s="107">
        <f t="shared" ref="M38:O38" si="1">(AVERAGE(M24:M33))^2</f>
        <v>4.63969297448386</v>
      </c>
      <c r="N38" s="107">
        <f t="shared" si="1"/>
        <v>0.80114071940930365</v>
      </c>
      <c r="O38" s="107">
        <f t="shared" si="1"/>
        <v>0.74663976927659415</v>
      </c>
      <c r="V38" s="19" t="str" cm="1">
        <f t="array" ref="V38">IF($K20,INDEX($C$12:$C$21,X20),"")</f>
        <v>Alaiya Anderson</v>
      </c>
      <c r="W38" s="77" cm="1">
        <f t="array" ref="W38">IF($K20,INDEX($M$24:$M$33,X20),"")</f>
        <v>0.2595380223202699</v>
      </c>
      <c r="Z38" s="19" t="str" cm="1">
        <f t="array" ref="Z38">IF($K20,INDEX($C$12:$C$21,W20),"")</f>
        <v>Alaiya Anderson</v>
      </c>
      <c r="AA38" s="77" cm="1">
        <f t="array" ref="AA38">IF($K20,INDEX($L$24:$L$33,W20),"")</f>
        <v>0.22040996253030634</v>
      </c>
    </row>
    <row r="39" spans="12:27" x14ac:dyDescent="0.2">
      <c r="L39" s="19" t="s">
        <v>149</v>
      </c>
      <c r="M39" s="19" t="s">
        <v>150</v>
      </c>
      <c r="N39" s="19" t="s">
        <v>151</v>
      </c>
      <c r="O39" s="19" t="s">
        <v>152</v>
      </c>
      <c r="V39" s="19" t="str" cm="1">
        <f t="array" ref="V39">IF($K21,INDEX($C$12:$C$21,X21),"")</f>
        <v>Lyanna Jackson</v>
      </c>
      <c r="W39" s="19" cm="1">
        <f t="array" ref="W39">IF($K21,INDEX($M$24:$M$33,X21),"")</f>
        <v>0.19543082725869176</v>
      </c>
      <c r="Z39" s="19" t="str" cm="1">
        <f t="array" ref="Z39">IF($K21,INDEX($C$12:$C$21,W21),"")</f>
        <v>Russell Crowe</v>
      </c>
      <c r="AA39" s="77" cm="1">
        <f t="array" ref="AA39">IF($K21,INDEX($L$24:$L$33,W21),"")</f>
        <v>0.19520193640320913</v>
      </c>
    </row>
    <row r="44" spans="12:27" x14ac:dyDescent="0.2">
      <c r="V44" s="109" t="str">
        <f>Y11</f>
        <v>People+Execution</v>
      </c>
      <c r="Z44" s="109" t="str">
        <f>Z11</f>
        <v>Task+Execution</v>
      </c>
    </row>
    <row r="45" spans="12:27" x14ac:dyDescent="0.2">
      <c r="V45" s="19" t="str" cm="1">
        <f t="array" ref="V45">IF($K12,INDEX($C$12:$C$21,Y12),"")</f>
        <v>Russell Crowe</v>
      </c>
      <c r="W45" s="77" cm="1">
        <f t="array" ref="W45">IF($K12,INDEX($N$24:$N$33,Y12),"")</f>
        <v>2.9859659599880555</v>
      </c>
      <c r="Z45" s="19" t="str" cm="1">
        <f t="array" ref="Z45">IF($K12,INDEX($C$12:$C$21,Z12),"")</f>
        <v>Lyanna Jackson</v>
      </c>
      <c r="AA45" s="77" cm="1">
        <f t="array" ref="AA45">IF($K12,INDEX($O$24:$O$33,Z12),"")</f>
        <v>5.4083288263926432</v>
      </c>
    </row>
    <row r="46" spans="12:27" x14ac:dyDescent="0.2">
      <c r="V46" s="19" t="str" cm="1">
        <f t="array" ref="V46">IF($K13,INDEX($C$12:$C$21,Y13),"")</f>
        <v>Alaiya Anderson</v>
      </c>
      <c r="W46" s="77" cm="1">
        <f t="array" ref="W46">IF($K13,INDEX($N$24:$N$33,Y13),"")</f>
        <v>1.9801980198019802</v>
      </c>
      <c r="Z46" s="19" t="str" cm="1">
        <f t="array" ref="Z46">IF($K13,INDEX($C$12:$C$21,Z13),"")</f>
        <v>Alaiya Anderson</v>
      </c>
      <c r="AA46" s="77" cm="1">
        <f t="array" ref="AA46">IF($K13,INDEX($O$24:$O$33,Z13),"")</f>
        <v>0.84104289318755254</v>
      </c>
    </row>
    <row r="47" spans="12:27" x14ac:dyDescent="0.2">
      <c r="V47" s="19" t="str" cm="1">
        <f t="array" ref="V47">IF($K14,INDEX($C$12:$C$21,Y14),"")</f>
        <v>William Thomas</v>
      </c>
      <c r="W47" s="77" cm="1">
        <f t="array" ref="W47">IF($K14,INDEX($N$24:$N$33,Y14),"")</f>
        <v>1.053740779768177</v>
      </c>
      <c r="Z47" s="19" t="str" cm="1">
        <f t="array" ref="Z47">IF($K14,INDEX($C$12:$C$21,Z14),"")</f>
        <v>Liam Moore</v>
      </c>
      <c r="AA47" s="77" cm="1">
        <f t="array" ref="AA47">IF($K14,INDEX($O$24:$O$33,Z14),"")</f>
        <v>0.59916117435590177</v>
      </c>
    </row>
    <row r="48" spans="12:27" x14ac:dyDescent="0.2">
      <c r="V48" s="19" t="str" cm="1">
        <f t="array" ref="V48">IF($K15,INDEX($C$12:$C$21,Y15),"")</f>
        <v>Salem Harris</v>
      </c>
      <c r="W48" s="77" cm="1">
        <f t="array" ref="W48">IF($K15,INDEX($N$24:$N$33,Y15),"")</f>
        <v>0.77924101924725298</v>
      </c>
      <c r="Z48" s="19" t="str" cm="1">
        <f t="array" ref="Z48">IF($K15,INDEX($C$12:$C$21,Z15),"")</f>
        <v>Oakleigh Davis</v>
      </c>
      <c r="AA48" s="77" cm="1">
        <f t="array" ref="AA48">IF($K15,INDEX($O$24:$O$33,Z15),"")</f>
        <v>0.42711314227138769</v>
      </c>
    </row>
    <row r="49" spans="22:27" x14ac:dyDescent="0.2">
      <c r="V49" s="19" t="str" cm="1">
        <f t="array" ref="V49">IF($K16,INDEX($C$12:$C$21,Y16),"")</f>
        <v>Ainhoa Garcia</v>
      </c>
      <c r="W49" s="77" cm="1">
        <f t="array" ref="W49">IF($K16,INDEX($N$24:$N$33,Y16),"")</f>
        <v>0.539228902669183</v>
      </c>
      <c r="Z49" s="19" t="str" cm="1">
        <f t="array" ref="Z49">IF($K16,INDEX($C$12:$C$21,Z16),"")</f>
        <v>Noah Taylor</v>
      </c>
      <c r="AA49" s="77" cm="1">
        <f t="array" ref="AA49">IF($K16,INDEX($O$24:$O$33,Z16),"")</f>
        <v>0.26654583255590797</v>
      </c>
    </row>
    <row r="50" spans="22:27" x14ac:dyDescent="0.2">
      <c r="V50" s="19" t="str" cm="1">
        <f t="array" ref="V50">IF($K17,INDEX($C$12:$C$21,Y17),"")</f>
        <v>Lyanna Jackson</v>
      </c>
      <c r="W50" s="77" cm="1">
        <f t="array" ref="W50">IF($K17,INDEX($N$24:$N$33,Y17),"")</f>
        <v>0.53279343598486861</v>
      </c>
      <c r="Z50" s="19" t="str" cm="1">
        <f t="array" ref="Z50">IF($K17,INDEX($C$12:$C$21,Z17),"")</f>
        <v>William Thomas</v>
      </c>
      <c r="AA50" s="77" cm="1">
        <f t="array" ref="AA50">IF($K17,INDEX($O$24:$O$33,Z17),"")</f>
        <v>0.25873221216041398</v>
      </c>
    </row>
    <row r="51" spans="22:27" x14ac:dyDescent="0.2">
      <c r="V51" s="19" t="str" cm="1">
        <f t="array" ref="V51">IF($K18,INDEX($C$12:$C$21,Y18),"")</f>
        <v>Kaisley Martin</v>
      </c>
      <c r="W51" s="77" cm="1">
        <f t="array" ref="W51">IF($K18,INDEX($N$24:$N$33,Y18),"")</f>
        <v>0.37130551017377089</v>
      </c>
      <c r="Z51" s="19" t="str" cm="1">
        <f t="array" ref="Z51">IF($K18,INDEX($C$12:$C$21,Z18),"")</f>
        <v>Russell Crowe</v>
      </c>
      <c r="AA51" s="77" cm="1">
        <f t="array" ref="AA51">IF($K18,INDEX($O$24:$O$33,Z18),"")</f>
        <v>0.25413606444890596</v>
      </c>
    </row>
    <row r="52" spans="22:27" x14ac:dyDescent="0.2">
      <c r="V52" s="19" t="str" cm="1">
        <f t="array" ref="V52">IF($K19,INDEX($C$12:$C$21,Y19),"")</f>
        <v>Oakleigh Davis</v>
      </c>
      <c r="W52" s="77" cm="1">
        <f t="array" ref="W52">IF($K19,INDEX($N$24:$N$33,Y19),"")</f>
        <v>0.28334230583968489</v>
      </c>
      <c r="Z52" s="19" t="str" cm="1">
        <f t="array" ref="Z52">IF($K19,INDEX($C$12:$C$21,Z19),"")</f>
        <v>Salem Harris</v>
      </c>
      <c r="AA52" s="77" cm="1">
        <f t="array" ref="AA52">IF($K19,INDEX($O$24:$O$33,Z19),"")</f>
        <v>0.23611078317946776</v>
      </c>
    </row>
    <row r="53" spans="22:27" x14ac:dyDescent="0.2">
      <c r="V53" s="19" t="str" cm="1">
        <f t="array" ref="V53">IF($K20,INDEX($C$12:$C$21,Y20),"")</f>
        <v>Noah Taylor</v>
      </c>
      <c r="W53" s="77" cm="1">
        <f t="array" ref="W53">IF($K20,INDEX($N$24:$N$33,Y20),"")</f>
        <v>0.23106962127689074</v>
      </c>
      <c r="Z53" s="19" t="str" cm="1">
        <f t="array" ref="Z53">IF($K20,INDEX($C$12:$C$21,Z20),"")</f>
        <v>Ainhoa Garcia</v>
      </c>
      <c r="AA53" s="77" cm="1">
        <f t="array" ref="AA53">IF($K20,INDEX($O$24:$O$33,Z20),"")</f>
        <v>0.18703824932198632</v>
      </c>
    </row>
    <row r="54" spans="22:27" x14ac:dyDescent="0.2">
      <c r="V54" s="19" t="str" cm="1">
        <f t="array" ref="V54">IF($K21,INDEX($C$12:$C$21,Y21),"")</f>
        <v>Liam Moore</v>
      </c>
      <c r="W54" s="77" cm="1">
        <f t="array" ref="W54">IF($K21,INDEX($N$24:$N$33,Y21),"")</f>
        <v>0.19376089905057159</v>
      </c>
      <c r="Z54" s="19" t="str" cm="1">
        <f t="array" ref="Z54">IF($K21,INDEX($C$12:$C$21,Z21),"")</f>
        <v>Kaisley Martin</v>
      </c>
      <c r="AA54" s="77" cm="1">
        <f t="array" ref="AA54">IF($K21,INDEX($O$24:$O$33,Z21),"")</f>
        <v>0.16262278019905027</v>
      </c>
    </row>
    <row r="55" spans="22:27" x14ac:dyDescent="0.2">
      <c r="Z55" s="105"/>
    </row>
    <row r="70" spans="2:4" x14ac:dyDescent="0.2">
      <c r="B70" s="105"/>
      <c r="C70" s="105"/>
      <c r="D70" s="105"/>
    </row>
    <row r="83" spans="2:2" ht="21" x14ac:dyDescent="0.2">
      <c r="B83" s="101" t="s">
        <v>251</v>
      </c>
    </row>
    <row r="104" spans="2:8" ht="19" x14ac:dyDescent="0.25">
      <c r="B104" s="111" t="s">
        <v>255</v>
      </c>
      <c r="H104" s="112" t="s">
        <v>248</v>
      </c>
    </row>
    <row r="141" spans="2:8" ht="19" x14ac:dyDescent="0.25">
      <c r="B141" s="113" t="s">
        <v>249</v>
      </c>
      <c r="H141" s="114" t="s">
        <v>250</v>
      </c>
    </row>
  </sheetData>
  <sheetProtection algorithmName="SHA-512" hashValue="YLp8ExvZec4oqBw1cH+3Qev+huiXePuRWcsTZC2sQN8N9QliTmLVAK/hXF61hmkOHflWItksSefjL50XfdtvYA==" saltValue="iHseqzZLuOW8yU1yfiR48g==" spinCount="100000" sheet="1" objects="1" scenarios="1" selectLockedCell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0961-4F3C-7940-B301-BC74B8E4DA0B}">
  <dimension ref="A1:B98"/>
  <sheetViews>
    <sheetView zoomScale="125" zoomScaleNormal="125" workbookViewId="0"/>
  </sheetViews>
  <sheetFormatPr baseColWidth="10" defaultRowHeight="16" x14ac:dyDescent="0.2"/>
  <sheetData>
    <row r="1" spans="1:2" ht="24" x14ac:dyDescent="0.3">
      <c r="A1" s="2" t="s">
        <v>256</v>
      </c>
    </row>
    <row r="2" spans="1:2" ht="19" x14ac:dyDescent="0.25">
      <c r="A2" s="3" t="s">
        <v>124</v>
      </c>
    </row>
    <row r="5" spans="1:2" ht="24" x14ac:dyDescent="0.3">
      <c r="A5" s="2" t="s">
        <v>252</v>
      </c>
    </row>
    <row r="7" spans="1:2" x14ac:dyDescent="0.2">
      <c r="A7" s="17" t="s">
        <v>171</v>
      </c>
    </row>
    <row r="9" spans="1:2" ht="19" x14ac:dyDescent="0.25">
      <c r="A9" s="3" t="s">
        <v>175</v>
      </c>
    </row>
    <row r="10" spans="1:2" ht="19" x14ac:dyDescent="0.25">
      <c r="A10" s="3"/>
      <c r="B10" t="s">
        <v>192</v>
      </c>
    </row>
    <row r="11" spans="1:2" ht="19" x14ac:dyDescent="0.25">
      <c r="A11" s="3"/>
    </row>
    <row r="12" spans="1:2" x14ac:dyDescent="0.2">
      <c r="A12" s="17" t="s">
        <v>174</v>
      </c>
    </row>
    <row r="13" spans="1:2" ht="19" x14ac:dyDescent="0.25">
      <c r="A13" s="3"/>
    </row>
    <row r="14" spans="1:2" ht="19" x14ac:dyDescent="0.25">
      <c r="A14" s="3" t="s">
        <v>176</v>
      </c>
    </row>
    <row r="15" spans="1:2" ht="19" x14ac:dyDescent="0.25">
      <c r="A15" s="3"/>
      <c r="B15" t="s">
        <v>257</v>
      </c>
    </row>
    <row r="16" spans="1:2" ht="19" x14ac:dyDescent="0.25">
      <c r="A16" s="3"/>
    </row>
    <row r="17" spans="1:2" ht="19" x14ac:dyDescent="0.25">
      <c r="A17" s="3" t="s">
        <v>177</v>
      </c>
    </row>
    <row r="18" spans="1:2" ht="19" x14ac:dyDescent="0.25">
      <c r="A18" s="3"/>
      <c r="B18" t="s">
        <v>229</v>
      </c>
    </row>
    <row r="19" spans="1:2" ht="19" x14ac:dyDescent="0.25">
      <c r="A19" s="3"/>
    </row>
    <row r="20" spans="1:2" ht="19" x14ac:dyDescent="0.25">
      <c r="A20" s="3" t="s">
        <v>178</v>
      </c>
    </row>
    <row r="21" spans="1:2" ht="19" x14ac:dyDescent="0.25">
      <c r="A21" s="3"/>
      <c r="B21" t="s">
        <v>200</v>
      </c>
    </row>
    <row r="23" spans="1:2" x14ac:dyDescent="0.2">
      <c r="A23" t="s">
        <v>172</v>
      </c>
    </row>
    <row r="24" spans="1:2" x14ac:dyDescent="0.2">
      <c r="A24" t="s">
        <v>173</v>
      </c>
    </row>
    <row r="25" spans="1:2" x14ac:dyDescent="0.2">
      <c r="A25" t="s">
        <v>193</v>
      </c>
    </row>
    <row r="32" spans="1:2" ht="24" x14ac:dyDescent="0.3">
      <c r="A32" s="2" t="s">
        <v>253</v>
      </c>
    </row>
    <row r="34" spans="1:2" x14ac:dyDescent="0.2">
      <c r="A34" t="s">
        <v>179</v>
      </c>
    </row>
    <row r="35" spans="1:2" x14ac:dyDescent="0.2">
      <c r="A35" t="s">
        <v>196</v>
      </c>
    </row>
    <row r="36" spans="1:2" x14ac:dyDescent="0.2">
      <c r="A36" t="s">
        <v>214</v>
      </c>
    </row>
    <row r="38" spans="1:2" x14ac:dyDescent="0.2">
      <c r="A38" s="17" t="s">
        <v>197</v>
      </c>
    </row>
    <row r="39" spans="1:2" x14ac:dyDescent="0.2">
      <c r="A39" s="17"/>
    </row>
    <row r="40" spans="1:2" x14ac:dyDescent="0.2">
      <c r="A40" s="17" t="s">
        <v>194</v>
      </c>
    </row>
    <row r="41" spans="1:2" x14ac:dyDescent="0.2">
      <c r="A41" s="17"/>
      <c r="B41" t="s">
        <v>181</v>
      </c>
    </row>
    <row r="42" spans="1:2" x14ac:dyDescent="0.2">
      <c r="A42" s="17"/>
      <c r="B42" t="s">
        <v>180</v>
      </c>
    </row>
    <row r="43" spans="1:2" x14ac:dyDescent="0.2">
      <c r="A43" s="17"/>
      <c r="B43" t="s">
        <v>182</v>
      </c>
    </row>
    <row r="44" spans="1:2" x14ac:dyDescent="0.2">
      <c r="A44" s="17"/>
      <c r="B44" t="s">
        <v>222</v>
      </c>
    </row>
    <row r="45" spans="1:2" x14ac:dyDescent="0.2">
      <c r="A45" s="17"/>
      <c r="B45" t="s">
        <v>198</v>
      </c>
    </row>
    <row r="46" spans="1:2" x14ac:dyDescent="0.2">
      <c r="A46" s="17"/>
    </row>
    <row r="47" spans="1:2" x14ac:dyDescent="0.2">
      <c r="A47" s="17" t="s">
        <v>183</v>
      </c>
    </row>
    <row r="48" spans="1:2" x14ac:dyDescent="0.2">
      <c r="A48" s="17"/>
      <c r="B48" t="s">
        <v>184</v>
      </c>
    </row>
    <row r="49" spans="1:2" x14ac:dyDescent="0.2">
      <c r="A49" s="17"/>
      <c r="B49" t="s">
        <v>185</v>
      </c>
    </row>
    <row r="50" spans="1:2" x14ac:dyDescent="0.2">
      <c r="A50" s="17"/>
      <c r="B50" t="s">
        <v>186</v>
      </c>
    </row>
    <row r="51" spans="1:2" x14ac:dyDescent="0.2">
      <c r="A51" s="17"/>
      <c r="B51" t="s">
        <v>187</v>
      </c>
    </row>
    <row r="52" spans="1:2" x14ac:dyDescent="0.2">
      <c r="A52" s="17"/>
      <c r="B52" t="s">
        <v>195</v>
      </c>
    </row>
    <row r="53" spans="1:2" x14ac:dyDescent="0.2">
      <c r="A53" s="17"/>
      <c r="B53" t="s">
        <v>188</v>
      </c>
    </row>
    <row r="54" spans="1:2" x14ac:dyDescent="0.2">
      <c r="A54" s="17"/>
      <c r="B54" t="s">
        <v>189</v>
      </c>
    </row>
    <row r="55" spans="1:2" x14ac:dyDescent="0.2">
      <c r="A55" s="17"/>
      <c r="B55" t="s">
        <v>190</v>
      </c>
    </row>
    <row r="56" spans="1:2" x14ac:dyDescent="0.2">
      <c r="A56" s="17"/>
      <c r="B56" t="s">
        <v>199</v>
      </c>
    </row>
    <row r="57" spans="1:2" x14ac:dyDescent="0.2">
      <c r="A57" s="17"/>
      <c r="B57" t="s">
        <v>191</v>
      </c>
    </row>
    <row r="58" spans="1:2" x14ac:dyDescent="0.2">
      <c r="A58" s="17"/>
    </row>
    <row r="59" spans="1:2" x14ac:dyDescent="0.2">
      <c r="A59" s="17" t="s">
        <v>240</v>
      </c>
    </row>
    <row r="60" spans="1:2" x14ac:dyDescent="0.2">
      <c r="A60" s="17"/>
      <c r="B60" t="s">
        <v>208</v>
      </c>
    </row>
    <row r="61" spans="1:2" x14ac:dyDescent="0.2">
      <c r="A61" s="17"/>
      <c r="B61" t="s">
        <v>241</v>
      </c>
    </row>
    <row r="62" spans="1:2" x14ac:dyDescent="0.2">
      <c r="A62" s="17"/>
      <c r="B62" t="s">
        <v>201</v>
      </c>
    </row>
    <row r="63" spans="1:2" x14ac:dyDescent="0.2">
      <c r="A63" s="17"/>
      <c r="B63" t="s">
        <v>202</v>
      </c>
    </row>
    <row r="64" spans="1:2" x14ac:dyDescent="0.2">
      <c r="A64" s="17"/>
      <c r="B64" t="s">
        <v>203</v>
      </c>
    </row>
    <row r="65" spans="1:2" x14ac:dyDescent="0.2">
      <c r="A65" s="17"/>
      <c r="B65" t="s">
        <v>209</v>
      </c>
    </row>
    <row r="66" spans="1:2" x14ac:dyDescent="0.2">
      <c r="A66" s="17"/>
      <c r="B66" t="s">
        <v>204</v>
      </c>
    </row>
    <row r="67" spans="1:2" x14ac:dyDescent="0.2">
      <c r="A67" s="17"/>
      <c r="B67" t="s">
        <v>205</v>
      </c>
    </row>
    <row r="68" spans="1:2" x14ac:dyDescent="0.2">
      <c r="A68" s="17"/>
      <c r="B68" t="s">
        <v>206</v>
      </c>
    </row>
    <row r="69" spans="1:2" x14ac:dyDescent="0.2">
      <c r="A69" s="17"/>
      <c r="B69" t="s">
        <v>207</v>
      </c>
    </row>
    <row r="70" spans="1:2" x14ac:dyDescent="0.2">
      <c r="A70" s="17"/>
      <c r="B70" t="s">
        <v>213</v>
      </c>
    </row>
    <row r="71" spans="1:2" x14ac:dyDescent="0.2">
      <c r="A71" s="17"/>
      <c r="B71" t="s">
        <v>215</v>
      </c>
    </row>
    <row r="72" spans="1:2" x14ac:dyDescent="0.2">
      <c r="A72" s="17"/>
      <c r="B72" t="s">
        <v>217</v>
      </c>
    </row>
    <row r="73" spans="1:2" x14ac:dyDescent="0.2">
      <c r="A73" s="17"/>
      <c r="B73" t="s">
        <v>216</v>
      </c>
    </row>
    <row r="74" spans="1:2" x14ac:dyDescent="0.2">
      <c r="A74" s="17"/>
      <c r="B74" t="s">
        <v>210</v>
      </c>
    </row>
    <row r="75" spans="1:2" x14ac:dyDescent="0.2">
      <c r="A75" s="17"/>
      <c r="B75" t="s">
        <v>211</v>
      </c>
    </row>
    <row r="76" spans="1:2" x14ac:dyDescent="0.2">
      <c r="A76" s="17"/>
      <c r="B76" t="s">
        <v>212</v>
      </c>
    </row>
    <row r="77" spans="1:2" x14ac:dyDescent="0.2">
      <c r="A77" s="17"/>
    </row>
    <row r="78" spans="1:2" x14ac:dyDescent="0.2">
      <c r="A78" s="17" t="s">
        <v>242</v>
      </c>
    </row>
    <row r="79" spans="1:2" x14ac:dyDescent="0.2">
      <c r="A79" s="17"/>
      <c r="B79" t="s">
        <v>218</v>
      </c>
    </row>
    <row r="80" spans="1:2" x14ac:dyDescent="0.2">
      <c r="A80" s="17"/>
      <c r="B80" t="s">
        <v>220</v>
      </c>
    </row>
    <row r="81" spans="1:2" x14ac:dyDescent="0.2">
      <c r="A81" s="17"/>
      <c r="B81" t="s">
        <v>224</v>
      </c>
    </row>
    <row r="82" spans="1:2" x14ac:dyDescent="0.2">
      <c r="A82" s="17"/>
      <c r="B82" t="s">
        <v>223</v>
      </c>
    </row>
    <row r="83" spans="1:2" x14ac:dyDescent="0.2">
      <c r="A83" s="17"/>
      <c r="B83" t="s">
        <v>243</v>
      </c>
    </row>
    <row r="84" spans="1:2" x14ac:dyDescent="0.2">
      <c r="A84" s="17"/>
      <c r="B84" t="s">
        <v>219</v>
      </c>
    </row>
    <row r="85" spans="1:2" x14ac:dyDescent="0.2">
      <c r="A85" s="17"/>
      <c r="B85" t="s">
        <v>226</v>
      </c>
    </row>
    <row r="86" spans="1:2" x14ac:dyDescent="0.2">
      <c r="A86" s="17"/>
      <c r="B86" t="s">
        <v>221</v>
      </c>
    </row>
    <row r="87" spans="1:2" x14ac:dyDescent="0.2">
      <c r="A87" s="17"/>
      <c r="B87" t="s">
        <v>227</v>
      </c>
    </row>
    <row r="88" spans="1:2" x14ac:dyDescent="0.2">
      <c r="A88" s="17"/>
      <c r="B88" t="s">
        <v>225</v>
      </c>
    </row>
    <row r="89" spans="1:2" x14ac:dyDescent="0.2">
      <c r="A89" s="17"/>
    </row>
    <row r="90" spans="1:2" x14ac:dyDescent="0.2">
      <c r="A90" s="17" t="s">
        <v>239</v>
      </c>
    </row>
    <row r="91" spans="1:2" x14ac:dyDescent="0.2">
      <c r="A91" s="17"/>
      <c r="B91" t="s">
        <v>181</v>
      </c>
    </row>
    <row r="92" spans="1:2" x14ac:dyDescent="0.2">
      <c r="A92" s="17"/>
      <c r="B92" t="s">
        <v>180</v>
      </c>
    </row>
    <row r="93" spans="1:2" x14ac:dyDescent="0.2">
      <c r="A93" s="17"/>
      <c r="B93" t="s">
        <v>182</v>
      </c>
    </row>
    <row r="94" spans="1:2" x14ac:dyDescent="0.2">
      <c r="A94" s="17"/>
      <c r="B94" t="s">
        <v>222</v>
      </c>
    </row>
    <row r="95" spans="1:2" x14ac:dyDescent="0.2">
      <c r="A95" s="17"/>
      <c r="B95" t="s">
        <v>198</v>
      </c>
    </row>
    <row r="96" spans="1:2" x14ac:dyDescent="0.2">
      <c r="A96" s="17"/>
    </row>
    <row r="97" spans="1:1" x14ac:dyDescent="0.2">
      <c r="A97" s="17"/>
    </row>
    <row r="98" spans="1:1" x14ac:dyDescent="0.2">
      <c r="A98" s="17"/>
    </row>
  </sheetData>
  <sheetProtection algorithmName="SHA-512" hashValue="DfqF9g+AzR027bFpQbo93lwsNI0tlICvKkl/V6+sfG0I0S5rsXLxIYEs+ZpgITTsDh8EmGstvduNl101Ea0ZQg==" saltValue="wT4qNremLargdTQ4gJxd5Q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AC66-2424-2E4D-BA95-FDC32836A8A4}">
  <dimension ref="A1:M57"/>
  <sheetViews>
    <sheetView topLeftCell="P1" workbookViewId="0">
      <selection activeCell="P1" sqref="P1"/>
    </sheetView>
  </sheetViews>
  <sheetFormatPr baseColWidth="10" defaultRowHeight="16" x14ac:dyDescent="0.2"/>
  <cols>
    <col min="1" max="1" width="81.5" hidden="1" customWidth="1"/>
    <col min="2" max="2" width="14.5" hidden="1" customWidth="1"/>
    <col min="3" max="6" width="10.83203125" hidden="1" customWidth="1"/>
    <col min="7" max="9" width="10" hidden="1" customWidth="1"/>
    <col min="10" max="11" width="10.83203125" hidden="1" customWidth="1"/>
    <col min="12" max="12" width="14" hidden="1" customWidth="1"/>
    <col min="13" max="13" width="121.6640625" hidden="1" customWidth="1"/>
    <col min="14" max="15" width="0" hidden="1" customWidth="1"/>
  </cols>
  <sheetData>
    <row r="1" spans="1:13" x14ac:dyDescent="0.2">
      <c r="E1" s="4">
        <f ca="1">MIN(E6:E39)</f>
        <v>-0.87500001947471584</v>
      </c>
      <c r="F1" s="4">
        <f ca="1">MAX(F6:F39)</f>
        <v>0.87500000088390661</v>
      </c>
    </row>
    <row r="3" spans="1:13" x14ac:dyDescent="0.2">
      <c r="E3" s="1">
        <f>Self_Assessment!D30</f>
        <v>-1</v>
      </c>
      <c r="F3" s="1">
        <f>Self_Assessment!E30</f>
        <v>-0.33333333333333337</v>
      </c>
      <c r="M3" t="s">
        <v>114</v>
      </c>
    </row>
    <row r="5" spans="1:13" x14ac:dyDescent="0.2">
      <c r="B5" s="6" t="s">
        <v>20</v>
      </c>
      <c r="C5" s="6" t="s">
        <v>70</v>
      </c>
      <c r="D5" s="6" t="s">
        <v>71</v>
      </c>
      <c r="E5" s="6" t="s">
        <v>21</v>
      </c>
      <c r="F5" s="6" t="s">
        <v>22</v>
      </c>
      <c r="G5" s="6" t="s">
        <v>72</v>
      </c>
      <c r="H5" s="6" t="s">
        <v>73</v>
      </c>
      <c r="I5" s="6"/>
      <c r="J5" s="6" t="s">
        <v>74</v>
      </c>
      <c r="K5" s="6" t="s">
        <v>75</v>
      </c>
      <c r="L5" s="6" t="s">
        <v>76</v>
      </c>
    </row>
    <row r="6" spans="1:13" ht="34" customHeight="1" x14ac:dyDescent="0.2">
      <c r="A6" s="8" t="s">
        <v>78</v>
      </c>
      <c r="B6" s="9" t="s">
        <v>24</v>
      </c>
      <c r="C6" s="10">
        <v>1.875</v>
      </c>
      <c r="D6" s="10">
        <v>0.125</v>
      </c>
      <c r="E6" s="11">
        <f ca="1">(C6-1)+0.0000001*(RAND()-0.5)</f>
        <v>0.87499999567569831</v>
      </c>
      <c r="F6" s="11">
        <f ca="1">(D6-1)+0.0000001*(RAND()-0.5)</f>
        <v>-0.87499995714027956</v>
      </c>
      <c r="G6" s="11">
        <f t="shared" ref="G6:G39" ca="1" si="0">(E6-$E$3)^2+(F6-$F$3)^2</f>
        <v>3.8090277151302843</v>
      </c>
      <c r="H6" s="12">
        <f t="shared" ref="H6:H39" ca="1" si="1">RANK(G6,$G$6:$G$39)</f>
        <v>3</v>
      </c>
      <c r="J6" s="12">
        <v>34</v>
      </c>
      <c r="K6" s="12">
        <f t="shared" ref="K6:K8" ca="1" si="2">MATCH(J6,$H$6:$H$39,0)</f>
        <v>22</v>
      </c>
      <c r="L6" s="9" t="str">
        <f t="shared" ref="L6:L8" ca="1" si="3">INDEX($B$6:$B$39,K6)</f>
        <v>Individualization</v>
      </c>
      <c r="M6" s="8" t="str">
        <f ca="1">$M$3&amp;L6&amp;" theme "&amp;INDEX($A$6:$A$39,K6)</f>
        <v>People who are especially talented in the Individualization theme are intrigued with the unique qualities of each person. They have a gift for figuring out how people who are different can work together productively.</v>
      </c>
    </row>
    <row r="7" spans="1:13" ht="34" customHeight="1" x14ac:dyDescent="0.2">
      <c r="A7" s="8" t="s">
        <v>79</v>
      </c>
      <c r="B7" s="9" t="s">
        <v>29</v>
      </c>
      <c r="C7" s="10">
        <v>1.7</v>
      </c>
      <c r="D7" s="10">
        <v>0.4</v>
      </c>
      <c r="E7" s="11">
        <f t="shared" ref="E7:E39" ca="1" si="4">(C7-1)+0.0000001*(RAND()-0.5)</f>
        <v>0.70000003902398189</v>
      </c>
      <c r="F7" s="11">
        <f t="shared" ref="F7:F39" ca="1" si="5">(D7-1)+0.0000001*(RAND()-0.5)</f>
        <v>-0.59999995691373087</v>
      </c>
      <c r="G7" s="11">
        <f t="shared" ca="1" si="0"/>
        <v>2.9611112208133101</v>
      </c>
      <c r="H7" s="12">
        <f t="shared" ca="1" si="1"/>
        <v>6</v>
      </c>
      <c r="J7" s="12">
        <v>33</v>
      </c>
      <c r="K7" s="12">
        <f t="shared" ca="1" si="2"/>
        <v>19</v>
      </c>
      <c r="L7" s="9" t="str">
        <f t="shared" ca="1" si="3"/>
        <v>Harmony</v>
      </c>
      <c r="M7" s="8" t="str">
        <f t="shared" ref="M7:M8" ca="1" si="6">$M$3&amp;L7&amp;" theme "&amp;INDEX($A$6:$A$39,K7)</f>
        <v>People who are especially talented in the Harmony theme look for consensus. They don’t enjoy conflict; rather, they seek areas of agreement.</v>
      </c>
    </row>
    <row r="8" spans="1:13" ht="34" customHeight="1" x14ac:dyDescent="0.2">
      <c r="A8" s="8" t="s">
        <v>80</v>
      </c>
      <c r="B8" s="9" t="s">
        <v>69</v>
      </c>
      <c r="C8" s="10">
        <v>1.35</v>
      </c>
      <c r="D8" s="10">
        <v>0.7</v>
      </c>
      <c r="E8" s="11">
        <f t="shared" ca="1" si="4"/>
        <v>0.34999998495197404</v>
      </c>
      <c r="F8" s="11">
        <f t="shared" ca="1" si="5"/>
        <v>-0.29999995376297844</v>
      </c>
      <c r="G8" s="11">
        <f t="shared" ca="1" si="0"/>
        <v>1.8236110735639117</v>
      </c>
      <c r="H8" s="12">
        <f t="shared" ca="1" si="1"/>
        <v>12</v>
      </c>
      <c r="J8" s="12">
        <v>32</v>
      </c>
      <c r="K8" s="12">
        <f t="shared" ca="1" si="2"/>
        <v>34</v>
      </c>
      <c r="L8" s="9" t="str">
        <f t="shared" ca="1" si="3"/>
        <v>Woo</v>
      </c>
      <c r="M8" s="8" t="str">
        <f t="shared" ca="1" si="6"/>
        <v>People who are especially talented in the Woo theme love the challenge of meeting new people and winning them over. They derive satisfaction from breaking the ice and making a connection with another.</v>
      </c>
    </row>
    <row r="9" spans="1:13" ht="34" customHeight="1" x14ac:dyDescent="0.2">
      <c r="A9" s="8" t="s">
        <v>81</v>
      </c>
      <c r="B9" s="9" t="s">
        <v>47</v>
      </c>
      <c r="C9" s="10">
        <v>1.7</v>
      </c>
      <c r="D9" s="10">
        <v>1.4</v>
      </c>
      <c r="E9" s="11">
        <f t="shared" ca="1" si="4"/>
        <v>0.70000004010767336</v>
      </c>
      <c r="F9" s="11">
        <f t="shared" ca="1" si="5"/>
        <v>0.40000000268548597</v>
      </c>
      <c r="G9" s="11">
        <f t="shared" ca="1" si="0"/>
        <v>3.4277779180825814</v>
      </c>
      <c r="H9" s="12">
        <f t="shared" ca="1" si="1"/>
        <v>4</v>
      </c>
    </row>
    <row r="10" spans="1:13" ht="34" customHeight="1" x14ac:dyDescent="0.2">
      <c r="A10" s="8" t="s">
        <v>82</v>
      </c>
      <c r="B10" s="9" t="s">
        <v>32</v>
      </c>
      <c r="C10" s="10">
        <v>0.88</v>
      </c>
      <c r="D10" s="10">
        <v>0.65</v>
      </c>
      <c r="E10" s="11">
        <f t="shared" ca="1" si="4"/>
        <v>-0.12000001172371635</v>
      </c>
      <c r="F10" s="11">
        <f t="shared" ca="1" si="5"/>
        <v>-0.34999998623312795</v>
      </c>
      <c r="G10" s="11">
        <f t="shared" ca="1" si="0"/>
        <v>0.77467775668514161</v>
      </c>
      <c r="H10" s="12">
        <f t="shared" ca="1" si="1"/>
        <v>25</v>
      </c>
      <c r="J10" s="12">
        <v>1</v>
      </c>
      <c r="K10" s="12">
        <f ca="1">MATCH(J10,$H$6:$H$39,0)</f>
        <v>24</v>
      </c>
      <c r="L10" s="9" t="str">
        <f ca="1">INDEX($B$6:$B$39,K10)</f>
        <v>Intellection</v>
      </c>
      <c r="M10" s="8" t="str">
        <f ca="1">$M$3&amp;L10&amp;" theme "&amp;INDEX($A$6:$A$39,K10)</f>
        <v>People who are especially talented in the Intellection theme are characterized by their intellectual activity. They are introspective and appreciate intellectual discussions.</v>
      </c>
    </row>
    <row r="11" spans="1:13" ht="34" customHeight="1" x14ac:dyDescent="0.2">
      <c r="A11" s="8" t="s">
        <v>83</v>
      </c>
      <c r="B11" s="9" t="s">
        <v>54</v>
      </c>
      <c r="C11" s="10">
        <v>0.125</v>
      </c>
      <c r="D11" s="10">
        <v>1.875</v>
      </c>
      <c r="E11" s="11">
        <f t="shared" ca="1" si="4"/>
        <v>-0.87500001947471584</v>
      </c>
      <c r="F11" s="11">
        <f t="shared" ca="1" si="5"/>
        <v>0.87499998945549939</v>
      </c>
      <c r="G11" s="11">
        <f t="shared" ca="1" si="0"/>
        <v>1.4756944140932227</v>
      </c>
      <c r="H11" s="12">
        <f t="shared" ca="1" si="1"/>
        <v>18</v>
      </c>
      <c r="J11" s="12">
        <v>2</v>
      </c>
      <c r="K11" s="12">
        <f ca="1">MATCH(J11,$H$6:$H$39,0)</f>
        <v>18</v>
      </c>
      <c r="L11" s="9" t="str">
        <f ca="1">INDEX($B$6:$B$39,K11)</f>
        <v>Futuristic</v>
      </c>
      <c r="M11" s="8" t="str">
        <f ca="1">$M$3&amp;L11&amp;" theme "&amp;INDEX($A$6:$A$39,K11)</f>
        <v>People who are especially talented in the Futuristic theme are inspired by the future and what could be. They inspire others with their visions of the future.</v>
      </c>
    </row>
    <row r="12" spans="1:13" ht="34" customHeight="1" x14ac:dyDescent="0.2">
      <c r="A12" s="8" t="s">
        <v>84</v>
      </c>
      <c r="B12" s="9" t="s">
        <v>25</v>
      </c>
      <c r="C12" s="10">
        <v>1.1000000000000001</v>
      </c>
      <c r="D12" s="10">
        <v>0.15454545454545587</v>
      </c>
      <c r="E12" s="11">
        <f t="shared" ca="1" si="4"/>
        <v>0.10000000654441973</v>
      </c>
      <c r="F12" s="11">
        <f t="shared" ca="1" si="5"/>
        <v>-0.84545455320641061</v>
      </c>
      <c r="G12" s="11">
        <f t="shared" ca="1" si="0"/>
        <v>1.4722681582420121</v>
      </c>
      <c r="H12" s="12">
        <f t="shared" ca="1" si="1"/>
        <v>19</v>
      </c>
      <c r="J12" s="12">
        <v>3</v>
      </c>
      <c r="K12" s="12">
        <f ca="1">MATCH(J12,$H$6:$H$39,0)</f>
        <v>1</v>
      </c>
      <c r="L12" s="9" t="str">
        <f ca="1">INDEX($B$6:$B$39,K12)</f>
        <v>Achiever</v>
      </c>
      <c r="M12" s="8" t="str">
        <f ca="1">$M$3&amp;L12&amp;" theme "&amp;INDEX($A$6:$A$39,K12)</f>
        <v>People who are especially talented in the Achiever theme have a great deal of stamina and work hard. They take great satisfaction from being busy and productive.</v>
      </c>
    </row>
    <row r="13" spans="1:13" ht="34" customHeight="1" x14ac:dyDescent="0.2">
      <c r="A13" s="8" t="s">
        <v>85</v>
      </c>
      <c r="B13" s="9" t="s">
        <v>34</v>
      </c>
      <c r="C13" s="10">
        <v>0.6</v>
      </c>
      <c r="D13" s="10">
        <v>0.7545454545454553</v>
      </c>
      <c r="E13" s="11">
        <f t="shared" ca="1" si="4"/>
        <v>-0.3999999803523166</v>
      </c>
      <c r="F13" s="11">
        <f t="shared" ca="1" si="5"/>
        <v>-0.24545452711993523</v>
      </c>
      <c r="G13" s="11">
        <f t="shared" ca="1" si="0"/>
        <v>0.36772270815871239</v>
      </c>
      <c r="H13" s="12">
        <f t="shared" ca="1" si="1"/>
        <v>30</v>
      </c>
    </row>
    <row r="14" spans="1:13" ht="34" customHeight="1" x14ac:dyDescent="0.2">
      <c r="A14" s="8" t="s">
        <v>86</v>
      </c>
      <c r="B14" s="9" t="s">
        <v>48</v>
      </c>
      <c r="C14" s="10">
        <v>1.1909090909090914</v>
      </c>
      <c r="D14" s="10">
        <v>1.4090909090909094</v>
      </c>
      <c r="E14" s="11">
        <f t="shared" ca="1" si="4"/>
        <v>0.19090906523550863</v>
      </c>
      <c r="F14" s="11">
        <f t="shared" ca="1" si="5"/>
        <v>0.40909093673653785</v>
      </c>
      <c r="G14" s="11">
        <f t="shared" ca="1" si="0"/>
        <v>1.9694581984488937</v>
      </c>
      <c r="H14" s="12">
        <f t="shared" ca="1" si="1"/>
        <v>11</v>
      </c>
    </row>
    <row r="15" spans="1:13" ht="34" customHeight="1" x14ac:dyDescent="0.2">
      <c r="A15" s="8" t="s">
        <v>87</v>
      </c>
      <c r="B15" s="9" t="s">
        <v>50</v>
      </c>
      <c r="C15" s="10">
        <v>0.2</v>
      </c>
      <c r="D15" s="10">
        <v>1.7</v>
      </c>
      <c r="E15" s="11">
        <f t="shared" ca="1" si="4"/>
        <v>-0.79999999825228474</v>
      </c>
      <c r="F15" s="11">
        <f t="shared" ca="1" si="5"/>
        <v>0.69999999083493669</v>
      </c>
      <c r="G15" s="11">
        <f t="shared" ca="1" si="0"/>
        <v>1.1077777595357332</v>
      </c>
      <c r="H15" s="12">
        <f t="shared" ca="1" si="1"/>
        <v>22</v>
      </c>
    </row>
    <row r="16" spans="1:13" ht="34" customHeight="1" x14ac:dyDescent="0.2">
      <c r="A16" s="8" t="s">
        <v>88</v>
      </c>
      <c r="B16" s="9" t="s">
        <v>38</v>
      </c>
      <c r="C16" s="10">
        <v>0.7</v>
      </c>
      <c r="D16" s="10">
        <v>0.95</v>
      </c>
      <c r="E16" s="11">
        <f t="shared" ca="1" si="4"/>
        <v>-0.29999999517419168</v>
      </c>
      <c r="F16" s="11">
        <f t="shared" ca="1" si="5"/>
        <v>-4.9999991013650838E-2</v>
      </c>
      <c r="G16" s="11">
        <f t="shared" ca="1" si="0"/>
        <v>0.57027778962617415</v>
      </c>
      <c r="H16" s="12">
        <f t="shared" ca="1" si="1"/>
        <v>27</v>
      </c>
    </row>
    <row r="17" spans="1:8" ht="34" customHeight="1" x14ac:dyDescent="0.2">
      <c r="A17" s="8" t="s">
        <v>89</v>
      </c>
      <c r="B17" s="9" t="s">
        <v>31</v>
      </c>
      <c r="C17" s="10">
        <v>1.1499999999999999</v>
      </c>
      <c r="D17" s="10">
        <v>0.64545454545454639</v>
      </c>
      <c r="E17" s="11">
        <f t="shared" ca="1" si="4"/>
        <v>0.15000003476056079</v>
      </c>
      <c r="F17" s="11">
        <f t="shared" ca="1" si="5"/>
        <v>-0.35454542400552436</v>
      </c>
      <c r="G17" s="11">
        <f t="shared" ca="1" si="0"/>
        <v>1.3229500327399761</v>
      </c>
      <c r="H17" s="12">
        <f t="shared" ca="1" si="1"/>
        <v>20</v>
      </c>
    </row>
    <row r="18" spans="1:8" ht="34" customHeight="1" x14ac:dyDescent="0.2">
      <c r="A18" s="8" t="s">
        <v>90</v>
      </c>
      <c r="B18" s="9" t="s">
        <v>41</v>
      </c>
      <c r="C18" s="10">
        <v>1.1000000000000001</v>
      </c>
      <c r="D18" s="10">
        <v>1.1909090909090914</v>
      </c>
      <c r="E18" s="11">
        <f t="shared" ca="1" si="4"/>
        <v>0.10000000667069774</v>
      </c>
      <c r="F18" s="11">
        <f t="shared" ca="1" si="5"/>
        <v>0.19090907827780115</v>
      </c>
      <c r="G18" s="11">
        <f t="shared" ca="1" si="0"/>
        <v>1.4848301208073929</v>
      </c>
      <c r="H18" s="12">
        <f t="shared" ca="1" si="1"/>
        <v>17</v>
      </c>
    </row>
    <row r="19" spans="1:8" ht="34" customHeight="1" x14ac:dyDescent="0.2">
      <c r="A19" s="8" t="s">
        <v>91</v>
      </c>
      <c r="B19" s="9" t="s">
        <v>44</v>
      </c>
      <c r="C19" s="10">
        <v>0.70000000000000084</v>
      </c>
      <c r="D19" s="10">
        <v>1.3000000000000003</v>
      </c>
      <c r="E19" s="11">
        <f t="shared" ca="1" si="4"/>
        <v>-0.30000004572033029</v>
      </c>
      <c r="F19" s="11">
        <f t="shared" ca="1" si="5"/>
        <v>0.30000000585837122</v>
      </c>
      <c r="G19" s="11">
        <f t="shared" ca="1" si="0"/>
        <v>0.89111105452325456</v>
      </c>
      <c r="H19" s="12">
        <f t="shared" ca="1" si="1"/>
        <v>24</v>
      </c>
    </row>
    <row r="20" spans="1:8" ht="34" customHeight="1" x14ac:dyDescent="0.2">
      <c r="A20" s="8" t="s">
        <v>92</v>
      </c>
      <c r="B20" s="9" t="s">
        <v>33</v>
      </c>
      <c r="C20" s="10">
        <v>1.7</v>
      </c>
      <c r="D20" s="10">
        <v>0.7</v>
      </c>
      <c r="E20" s="11">
        <f t="shared" ca="1" si="4"/>
        <v>0.69999998860662582</v>
      </c>
      <c r="F20" s="11">
        <f t="shared" ca="1" si="5"/>
        <v>-0.29999995948991187</v>
      </c>
      <c r="G20" s="11">
        <f t="shared" ca="1" si="0"/>
        <v>2.8911110750743134</v>
      </c>
      <c r="H20" s="12">
        <f t="shared" ca="1" si="1"/>
        <v>7</v>
      </c>
    </row>
    <row r="21" spans="1:8" ht="34" customHeight="1" x14ac:dyDescent="0.2">
      <c r="A21" s="8" t="s">
        <v>93</v>
      </c>
      <c r="B21" s="9" t="s">
        <v>39</v>
      </c>
      <c r="C21" s="10">
        <v>0.55000000000000004</v>
      </c>
      <c r="D21" s="10">
        <v>1.0818181818181825</v>
      </c>
      <c r="E21" s="11">
        <f t="shared" ca="1" si="4"/>
        <v>-0.44999995556781763</v>
      </c>
      <c r="F21" s="11">
        <f t="shared" ca="1" si="5"/>
        <v>8.1818169504901228E-2</v>
      </c>
      <c r="G21" s="11">
        <f t="shared" ca="1" si="0"/>
        <v>0.47485081918424737</v>
      </c>
      <c r="H21" s="12">
        <f t="shared" ca="1" si="1"/>
        <v>29</v>
      </c>
    </row>
    <row r="22" spans="1:8" ht="34" customHeight="1" x14ac:dyDescent="0.2">
      <c r="A22" s="8" t="s">
        <v>94</v>
      </c>
      <c r="B22" s="9" t="s">
        <v>37</v>
      </c>
      <c r="C22" s="10">
        <v>1.2</v>
      </c>
      <c r="D22" s="10">
        <v>0.91818181818181888</v>
      </c>
      <c r="E22" s="11">
        <f t="shared" ca="1" si="4"/>
        <v>0.20000001032053477</v>
      </c>
      <c r="F22" s="11">
        <f t="shared" ca="1" si="5"/>
        <v>-8.1818176168460599E-2</v>
      </c>
      <c r="G22" s="11">
        <f t="shared" ca="1" si="0"/>
        <v>1.5032598990529544</v>
      </c>
      <c r="H22" s="12">
        <f t="shared" ca="1" si="1"/>
        <v>16</v>
      </c>
    </row>
    <row r="23" spans="1:8" ht="34" customHeight="1" x14ac:dyDescent="0.2">
      <c r="A23" s="8" t="s">
        <v>95</v>
      </c>
      <c r="B23" s="9" t="s">
        <v>51</v>
      </c>
      <c r="C23" s="10">
        <v>1.8</v>
      </c>
      <c r="D23" s="10">
        <v>1.7</v>
      </c>
      <c r="E23" s="11">
        <f t="shared" ca="1" si="4"/>
        <v>0.80000001697810552</v>
      </c>
      <c r="F23" s="11">
        <f t="shared" ca="1" si="5"/>
        <v>0.70000000863247014</v>
      </c>
      <c r="G23" s="11">
        <f t="shared" ca="1" si="0"/>
        <v>4.3077778567393956</v>
      </c>
      <c r="H23" s="12">
        <f t="shared" ca="1" si="1"/>
        <v>2</v>
      </c>
    </row>
    <row r="24" spans="1:8" ht="34" customHeight="1" x14ac:dyDescent="0.2">
      <c r="A24" s="8" t="s">
        <v>96</v>
      </c>
      <c r="B24" s="9" t="s">
        <v>28</v>
      </c>
      <c r="C24" s="10">
        <v>0.42727272727272836</v>
      </c>
      <c r="D24" s="10">
        <v>0.4</v>
      </c>
      <c r="E24" s="11">
        <f t="shared" ca="1" si="4"/>
        <v>-0.57272727756266373</v>
      </c>
      <c r="F24" s="11">
        <f t="shared" ca="1" si="5"/>
        <v>-0.60000003969650006</v>
      </c>
      <c r="G24" s="11">
        <f t="shared" ca="1" si="0"/>
        <v>0.25367311162159234</v>
      </c>
      <c r="H24" s="12">
        <f t="shared" ca="1" si="1"/>
        <v>33</v>
      </c>
    </row>
    <row r="25" spans="1:8" ht="34" customHeight="1" x14ac:dyDescent="0.2">
      <c r="A25" s="8" t="s">
        <v>97</v>
      </c>
      <c r="B25" s="9" t="s">
        <v>49</v>
      </c>
      <c r="C25" s="10">
        <v>1.5181818181818185</v>
      </c>
      <c r="D25" s="10">
        <v>1.572727272727273</v>
      </c>
      <c r="E25" s="11">
        <f t="shared" ca="1" si="4"/>
        <v>0.51818184887489349</v>
      </c>
      <c r="F25" s="11">
        <f t="shared" ca="1" si="5"/>
        <v>0.57272724909415618</v>
      </c>
      <c r="G25" s="11">
        <f t="shared" ca="1" si="0"/>
        <v>3.1258219052820313</v>
      </c>
      <c r="H25" s="12">
        <f t="shared" ca="1" si="1"/>
        <v>5</v>
      </c>
    </row>
    <row r="26" spans="1:8" ht="34" customHeight="1" x14ac:dyDescent="0.2">
      <c r="A26" s="8" t="s">
        <v>98</v>
      </c>
      <c r="B26" s="9" t="s">
        <v>26</v>
      </c>
      <c r="C26" s="10">
        <v>0.6</v>
      </c>
      <c r="D26" s="10">
        <v>0.25</v>
      </c>
      <c r="E26" s="11">
        <f t="shared" ca="1" si="4"/>
        <v>-0.40000002982994776</v>
      </c>
      <c r="F26" s="11">
        <f t="shared" ca="1" si="5"/>
        <v>-0.74999997040773736</v>
      </c>
      <c r="G26" s="11">
        <f t="shared" ca="1" si="0"/>
        <v>0.53361105065495673</v>
      </c>
      <c r="H26" s="12">
        <f t="shared" ca="1" si="1"/>
        <v>28</v>
      </c>
    </row>
    <row r="27" spans="1:8" ht="34" customHeight="1" x14ac:dyDescent="0.2">
      <c r="A27" s="8" t="s">
        <v>99</v>
      </c>
      <c r="B27" s="9" t="s">
        <v>30</v>
      </c>
      <c r="C27" s="10">
        <v>0.35</v>
      </c>
      <c r="D27" s="10">
        <v>0.6</v>
      </c>
      <c r="E27" s="11">
        <f t="shared" ca="1" si="4"/>
        <v>-0.64999995893899332</v>
      </c>
      <c r="F27" s="11">
        <f t="shared" ca="1" si="5"/>
        <v>-0.40000002227140236</v>
      </c>
      <c r="G27" s="11">
        <f t="shared" ca="1" si="0"/>
        <v>0.12694447615667162</v>
      </c>
      <c r="H27" s="12">
        <f t="shared" ca="1" si="1"/>
        <v>34</v>
      </c>
    </row>
    <row r="28" spans="1:8" ht="34" customHeight="1" x14ac:dyDescent="0.2">
      <c r="A28" s="8" t="s">
        <v>100</v>
      </c>
      <c r="B28" s="9" t="s">
        <v>43</v>
      </c>
      <c r="C28" s="10">
        <v>1.1000000000000001</v>
      </c>
      <c r="D28" s="10">
        <v>1.3</v>
      </c>
      <c r="E28" s="11">
        <f t="shared" ca="1" si="4"/>
        <v>9.9999970101398092E-2</v>
      </c>
      <c r="F28" s="11">
        <f t="shared" ca="1" si="5"/>
        <v>0.29999998294893349</v>
      </c>
      <c r="G28" s="11">
        <f t="shared" ca="1" si="0"/>
        <v>1.6111110237361703</v>
      </c>
      <c r="H28" s="12">
        <f t="shared" ca="1" si="1"/>
        <v>14</v>
      </c>
    </row>
    <row r="29" spans="1:8" ht="34" customHeight="1" x14ac:dyDescent="0.2">
      <c r="A29" s="8" t="s">
        <v>101</v>
      </c>
      <c r="B29" s="9" t="s">
        <v>55</v>
      </c>
      <c r="C29" s="10">
        <v>1.875</v>
      </c>
      <c r="D29" s="10">
        <v>1.875</v>
      </c>
      <c r="E29" s="11">
        <f t="shared" ca="1" si="4"/>
        <v>0.8750000152048405</v>
      </c>
      <c r="F29" s="11">
        <f t="shared" ca="1" si="5"/>
        <v>0.87500000088390661</v>
      </c>
      <c r="G29" s="11">
        <f t="shared" ca="1" si="0"/>
        <v>4.9756945035987039</v>
      </c>
      <c r="H29" s="12">
        <f t="shared" ca="1" si="1"/>
        <v>1</v>
      </c>
    </row>
    <row r="30" spans="1:8" ht="34" customHeight="1" x14ac:dyDescent="0.2">
      <c r="A30" s="8" t="s">
        <v>102</v>
      </c>
      <c r="B30" s="9" t="s">
        <v>35</v>
      </c>
      <c r="C30" s="10">
        <v>1.4</v>
      </c>
      <c r="D30" s="10">
        <v>0.85</v>
      </c>
      <c r="E30" s="11">
        <f t="shared" ca="1" si="4"/>
        <v>0.39999999493460581</v>
      </c>
      <c r="F30" s="11">
        <f t="shared" ca="1" si="5"/>
        <v>-0.14999999148390927</v>
      </c>
      <c r="G30" s="11">
        <f t="shared" ca="1" si="0"/>
        <v>1.9936111000505741</v>
      </c>
      <c r="H30" s="12">
        <f t="shared" ca="1" si="1"/>
        <v>10</v>
      </c>
    </row>
    <row r="31" spans="1:8" ht="34" customHeight="1" x14ac:dyDescent="0.2">
      <c r="A31" s="8" t="s">
        <v>103</v>
      </c>
      <c r="B31" s="9" t="s">
        <v>42</v>
      </c>
      <c r="C31" s="10">
        <v>1.4</v>
      </c>
      <c r="D31" s="10">
        <v>1.25</v>
      </c>
      <c r="E31" s="11">
        <f t="shared" ca="1" si="4"/>
        <v>0.40000003238554432</v>
      </c>
      <c r="F31" s="11">
        <f t="shared" ca="1" si="5"/>
        <v>0.24999996254817636</v>
      </c>
      <c r="G31" s="11">
        <f t="shared" ca="1" si="0"/>
        <v>2.3002778247635103</v>
      </c>
      <c r="H31" s="12">
        <f t="shared" ca="1" si="1"/>
        <v>9</v>
      </c>
    </row>
    <row r="32" spans="1:8" ht="34" customHeight="1" x14ac:dyDescent="0.2">
      <c r="A32" s="8" t="s">
        <v>104</v>
      </c>
      <c r="B32" s="9" t="s">
        <v>45</v>
      </c>
      <c r="C32" s="10">
        <v>0.2</v>
      </c>
      <c r="D32" s="10">
        <v>1.4</v>
      </c>
      <c r="E32" s="11">
        <f t="shared" ca="1" si="4"/>
        <v>-0.79999995521745026</v>
      </c>
      <c r="F32" s="11">
        <f t="shared" ca="1" si="5"/>
        <v>0.39999997828482725</v>
      </c>
      <c r="G32" s="11">
        <f t="shared" ca="1" si="0"/>
        <v>0.57777776384188018</v>
      </c>
      <c r="H32" s="12">
        <f t="shared" ca="1" si="1"/>
        <v>26</v>
      </c>
    </row>
    <row r="33" spans="1:12" ht="34" customHeight="1" x14ac:dyDescent="0.2">
      <c r="A33" s="8" t="s">
        <v>105</v>
      </c>
      <c r="B33" s="9" t="s">
        <v>36</v>
      </c>
      <c r="C33" s="10">
        <v>0.55000000000000004</v>
      </c>
      <c r="D33" s="10">
        <v>0.86363636363636442</v>
      </c>
      <c r="E33" s="11">
        <f t="shared" ca="1" si="4"/>
        <v>-0.44999995707095364</v>
      </c>
      <c r="F33" s="11">
        <f t="shared" ca="1" si="5"/>
        <v>-0.13636364426336622</v>
      </c>
      <c r="G33" s="11">
        <f t="shared" ca="1" si="0"/>
        <v>0.3412971056342724</v>
      </c>
      <c r="H33" s="12">
        <f t="shared" ca="1" si="1"/>
        <v>31</v>
      </c>
    </row>
    <row r="34" spans="1:12" ht="34" customHeight="1" x14ac:dyDescent="0.2">
      <c r="A34" s="8" t="s">
        <v>106</v>
      </c>
      <c r="B34" s="9" t="s">
        <v>27</v>
      </c>
      <c r="C34" s="10">
        <v>1.25</v>
      </c>
      <c r="D34" s="10">
        <v>0.35</v>
      </c>
      <c r="E34" s="11">
        <f t="shared" ca="1" si="4"/>
        <v>0.25000003929938486</v>
      </c>
      <c r="F34" s="11">
        <f t="shared" ca="1" si="5"/>
        <v>-0.65000002329575446</v>
      </c>
      <c r="G34" s="11">
        <f t="shared" ca="1" si="0"/>
        <v>1.6627778907802198</v>
      </c>
      <c r="H34" s="12">
        <f t="shared" ca="1" si="1"/>
        <v>13</v>
      </c>
    </row>
    <row r="35" spans="1:12" ht="34" customHeight="1" x14ac:dyDescent="0.2">
      <c r="A35" s="8" t="s">
        <v>107</v>
      </c>
      <c r="B35" s="9" t="s">
        <v>40</v>
      </c>
      <c r="C35" s="10">
        <v>0.9</v>
      </c>
      <c r="D35" s="10">
        <v>1.1000000000000001</v>
      </c>
      <c r="E35" s="11">
        <f t="shared" ca="1" si="4"/>
        <v>-0.10000003297502102</v>
      </c>
      <c r="F35" s="11">
        <f t="shared" ca="1" si="5"/>
        <v>0.10000004377068096</v>
      </c>
      <c r="G35" s="11">
        <f t="shared" ca="1" si="0"/>
        <v>0.99777775635733312</v>
      </c>
      <c r="H35" s="12">
        <f t="shared" ca="1" si="1"/>
        <v>23</v>
      </c>
    </row>
    <row r="36" spans="1:12" ht="34" customHeight="1" x14ac:dyDescent="0.2">
      <c r="A36" s="8" t="s">
        <v>108</v>
      </c>
      <c r="B36" s="9" t="s">
        <v>53</v>
      </c>
      <c r="C36" s="10">
        <v>0.53636363636363749</v>
      </c>
      <c r="D36" s="10">
        <v>1.790909090909091</v>
      </c>
      <c r="E36" s="11">
        <f t="shared" ca="1" si="4"/>
        <v>-0.46363635731797992</v>
      </c>
      <c r="F36" s="11">
        <f t="shared" ca="1" si="5"/>
        <v>0.79090907348845807</v>
      </c>
      <c r="G36" s="11">
        <f t="shared" ca="1" si="0"/>
        <v>1.5516069464875804</v>
      </c>
      <c r="H36" s="12">
        <f t="shared" ca="1" si="1"/>
        <v>15</v>
      </c>
    </row>
    <row r="37" spans="1:12" ht="34" customHeight="1" x14ac:dyDescent="0.2">
      <c r="A37" s="8" t="s">
        <v>109</v>
      </c>
      <c r="B37" s="9" t="s">
        <v>46</v>
      </c>
      <c r="C37" s="10">
        <v>0.86363636363636442</v>
      </c>
      <c r="D37" s="10">
        <v>1.4</v>
      </c>
      <c r="E37" s="11">
        <f t="shared" ca="1" si="4"/>
        <v>-0.13636363275465158</v>
      </c>
      <c r="F37" s="11">
        <f t="shared" ca="1" si="5"/>
        <v>0.40000004776624443</v>
      </c>
      <c r="G37" s="11">
        <f t="shared" ca="1" si="0"/>
        <v>1.283645622663681</v>
      </c>
      <c r="H37" s="12">
        <f t="shared" ca="1" si="1"/>
        <v>21</v>
      </c>
    </row>
    <row r="38" spans="1:12" ht="34" customHeight="1" x14ac:dyDescent="0.2">
      <c r="A38" s="8" t="s">
        <v>110</v>
      </c>
      <c r="B38" s="9" t="s">
        <v>52</v>
      </c>
      <c r="C38" s="10">
        <v>1.1363636363636369</v>
      </c>
      <c r="D38" s="10">
        <v>1.7363636363636363</v>
      </c>
      <c r="E38" s="11">
        <f t="shared" ca="1" si="4"/>
        <v>0.13636364759319936</v>
      </c>
      <c r="F38" s="11">
        <f t="shared" ca="1" si="5"/>
        <v>0.73636365434603979</v>
      </c>
      <c r="G38" s="11">
        <f t="shared" ca="1" si="0"/>
        <v>2.4355739850216462</v>
      </c>
      <c r="H38" s="12">
        <f t="shared" ca="1" si="1"/>
        <v>8</v>
      </c>
    </row>
    <row r="39" spans="1:12" ht="34" customHeight="1" x14ac:dyDescent="0.2">
      <c r="A39" s="8" t="s">
        <v>111</v>
      </c>
      <c r="B39" s="9" t="s">
        <v>23</v>
      </c>
      <c r="C39" s="10">
        <v>0.125</v>
      </c>
      <c r="D39" s="10">
        <v>0.125</v>
      </c>
      <c r="E39" s="11">
        <f t="shared" ca="1" si="4"/>
        <v>-0.8749999991301447</v>
      </c>
      <c r="F39" s="11">
        <f t="shared" ca="1" si="5"/>
        <v>-0.87499996732381169</v>
      </c>
      <c r="G39" s="11">
        <f t="shared" ca="1" si="0"/>
        <v>0.3090277425960386</v>
      </c>
      <c r="H39" s="12">
        <f t="shared" ca="1" si="1"/>
        <v>32</v>
      </c>
    </row>
    <row r="40" spans="1:12" x14ac:dyDescent="0.2">
      <c r="C40" s="5"/>
      <c r="D40" s="5"/>
      <c r="G40" s="4"/>
    </row>
    <row r="41" spans="1:12" x14ac:dyDescent="0.2">
      <c r="C41" s="5"/>
      <c r="D41" s="5"/>
      <c r="G41" s="4"/>
    </row>
    <row r="42" spans="1:12" x14ac:dyDescent="0.2">
      <c r="C42" s="5"/>
      <c r="D42" s="5"/>
      <c r="G42" s="4"/>
    </row>
    <row r="43" spans="1:12" x14ac:dyDescent="0.2">
      <c r="C43" s="5"/>
      <c r="D43" s="5"/>
      <c r="G43" s="4"/>
    </row>
    <row r="44" spans="1:12" x14ac:dyDescent="0.2">
      <c r="B44" s="6" t="s">
        <v>77</v>
      </c>
      <c r="C44" s="6" t="s">
        <v>70</v>
      </c>
      <c r="D44" s="6" t="s">
        <v>71</v>
      </c>
      <c r="E44" s="6" t="s">
        <v>21</v>
      </c>
      <c r="F44" s="6" t="s">
        <v>22</v>
      </c>
      <c r="G44" s="6" t="s">
        <v>72</v>
      </c>
      <c r="H44" s="6" t="s">
        <v>73</v>
      </c>
      <c r="I44" s="7"/>
      <c r="J44" s="6" t="s">
        <v>74</v>
      </c>
      <c r="K44" s="6" t="s">
        <v>75</v>
      </c>
      <c r="L44" s="6" t="s">
        <v>77</v>
      </c>
    </row>
    <row r="45" spans="1:12" x14ac:dyDescent="0.2">
      <c r="B45" t="s">
        <v>56</v>
      </c>
      <c r="C45" s="5">
        <v>1.8083945909473758</v>
      </c>
      <c r="D45" s="5">
        <v>1.3348480033194536</v>
      </c>
      <c r="E45" s="4">
        <f ca="1">(C45-1)+0.0000001*(RAND()-0.5)</f>
        <v>0.80839457102149181</v>
      </c>
      <c r="F45" s="4">
        <f ca="1">(D45-1)+0.0000001*(RAND()-0.5)</f>
        <v>0.33484797473523292</v>
      </c>
      <c r="G45" s="4">
        <f t="shared" ref="G45:G57" ca="1" si="7">(E45-$E$3)^2+(F45-$F$3)^2</f>
        <v>3.7167571849522254</v>
      </c>
      <c r="H45">
        <f ca="1">RANK(G45,$G$45:$G$57)</f>
        <v>1</v>
      </c>
      <c r="J45">
        <v>13</v>
      </c>
      <c r="K45">
        <f ca="1">MATCH(J45,$H$45:$H$57,0)</f>
        <v>5</v>
      </c>
      <c r="L45" t="str">
        <f ca="1">INDEX($B$45:$B$57,K45)</f>
        <v>Actor</v>
      </c>
    </row>
    <row r="46" spans="1:12" x14ac:dyDescent="0.2">
      <c r="B46" t="s">
        <v>57</v>
      </c>
      <c r="C46" s="5">
        <v>1.3348480033194536</v>
      </c>
      <c r="D46" s="5">
        <v>1.8083945909473758</v>
      </c>
      <c r="E46" s="4">
        <f t="shared" ref="E46:E57" ca="1" si="8">(C46-1)+0.0000001*(RAND()-0.5)</f>
        <v>0.3348480368339653</v>
      </c>
      <c r="F46" s="4">
        <f t="shared" ref="F46:F57" ca="1" si="9">(D46-1)+0.0000001*(RAND()-0.5)</f>
        <v>0.8083945782358547</v>
      </c>
      <c r="G46" s="4">
        <f t="shared" ca="1" si="7"/>
        <v>3.0853619054956307</v>
      </c>
      <c r="H46">
        <f t="shared" ref="H46:H57" ca="1" si="10">RANK(G46,$G$45:$G$57)</f>
        <v>3</v>
      </c>
      <c r="J46">
        <v>12</v>
      </c>
      <c r="K46">
        <f t="shared" ref="K46:K47" ca="1" si="11">MATCH(J46,$H$45:$H$57,0)</f>
        <v>12</v>
      </c>
      <c r="L46" t="str">
        <f t="shared" ref="L46:L47" ca="1" si="12">INDEX($B$45:$B$57,K46)</f>
        <v>Teacher</v>
      </c>
    </row>
    <row r="47" spans="1:12" x14ac:dyDescent="0.2">
      <c r="B47" t="s">
        <v>59</v>
      </c>
      <c r="C47" s="5">
        <v>0.66515199668054648</v>
      </c>
      <c r="D47" s="5">
        <v>1.8083945909473758</v>
      </c>
      <c r="E47" s="4">
        <f t="shared" ca="1" si="8"/>
        <v>-0.33484801993162228</v>
      </c>
      <c r="F47" s="4">
        <f t="shared" ca="1" si="9"/>
        <v>0.80839460691825549</v>
      </c>
      <c r="G47" s="4">
        <f t="shared" ca="1" si="7"/>
        <v>1.7459698461400195</v>
      </c>
      <c r="H47">
        <f t="shared" ca="1" si="10"/>
        <v>7</v>
      </c>
      <c r="J47">
        <v>11</v>
      </c>
      <c r="K47">
        <f t="shared" ca="1" si="11"/>
        <v>4</v>
      </c>
      <c r="L47" t="str">
        <f t="shared" ca="1" si="12"/>
        <v>Philanthropist</v>
      </c>
    </row>
    <row r="48" spans="1:12" x14ac:dyDescent="0.2">
      <c r="B48" t="s">
        <v>58</v>
      </c>
      <c r="C48" s="5">
        <v>0.19160540905262413</v>
      </c>
      <c r="D48" s="5">
        <v>1.3348480033194536</v>
      </c>
      <c r="E48" s="4">
        <f t="shared" ca="1" si="8"/>
        <v>-0.8083945428007282</v>
      </c>
      <c r="F48" s="4">
        <f t="shared" ca="1" si="9"/>
        <v>0.33484801497124767</v>
      </c>
      <c r="G48" s="4">
        <f t="shared" ca="1" si="7"/>
        <v>0.48317896545066985</v>
      </c>
      <c r="H48">
        <f t="shared" ca="1" si="10"/>
        <v>11</v>
      </c>
    </row>
    <row r="49" spans="2:12" x14ac:dyDescent="0.2">
      <c r="B49" t="s">
        <v>60</v>
      </c>
      <c r="C49" s="5">
        <v>0.19160540905262391</v>
      </c>
      <c r="D49" s="5">
        <v>0.66515199668054692</v>
      </c>
      <c r="E49" s="4">
        <f t="shared" ca="1" si="8"/>
        <v>-0.80839463290003766</v>
      </c>
      <c r="F49" s="4">
        <f t="shared" ca="1" si="9"/>
        <v>-0.3348479925058086</v>
      </c>
      <c r="G49" s="4">
        <f t="shared" ca="1" si="7"/>
        <v>3.6714910893920094E-2</v>
      </c>
      <c r="H49">
        <f t="shared" ca="1" si="10"/>
        <v>13</v>
      </c>
      <c r="J49">
        <v>1</v>
      </c>
      <c r="K49">
        <f ca="1">MATCH(J49,$H$45:$H$57,0)</f>
        <v>1</v>
      </c>
      <c r="L49" t="str">
        <f ca="1">INDEX($B$45:$B$57,K49)</f>
        <v>Architect</v>
      </c>
    </row>
    <row r="50" spans="2:12" x14ac:dyDescent="0.2">
      <c r="B50" t="s">
        <v>61</v>
      </c>
      <c r="C50" s="5">
        <v>0.6651519966805467</v>
      </c>
      <c r="D50" s="5">
        <v>0.19160540905262402</v>
      </c>
      <c r="E50" s="4">
        <f t="shared" ca="1" si="8"/>
        <v>-0.33484805112249333</v>
      </c>
      <c r="F50" s="4">
        <f t="shared" ca="1" si="9"/>
        <v>-0.80839455861870368</v>
      </c>
      <c r="G50" s="4">
        <f t="shared" ca="1" si="7"/>
        <v>0.66811028286518259</v>
      </c>
      <c r="H50">
        <f t="shared" ca="1" si="10"/>
        <v>10</v>
      </c>
      <c r="J50">
        <v>2</v>
      </c>
      <c r="K50">
        <f ca="1">MATCH(J50,$H$45:$H$57,0)</f>
        <v>8</v>
      </c>
      <c r="L50" t="str">
        <f ca="1">INDEX($B$45:$B$57,K50)</f>
        <v>Farmer</v>
      </c>
    </row>
    <row r="51" spans="2:12" x14ac:dyDescent="0.2">
      <c r="B51" t="s">
        <v>62</v>
      </c>
      <c r="C51" s="5">
        <v>1.3348480033194536</v>
      </c>
      <c r="D51" s="5">
        <v>0.19160540905262424</v>
      </c>
      <c r="E51" s="4">
        <f t="shared" ca="1" si="8"/>
        <v>0.33484800185938279</v>
      </c>
      <c r="F51" s="4">
        <f t="shared" ca="1" si="9"/>
        <v>-0.80839459478299214</v>
      </c>
      <c r="G51" s="4">
        <f t="shared" ca="1" si="7"/>
        <v>2.0075023901981282</v>
      </c>
      <c r="H51">
        <f t="shared" ca="1" si="10"/>
        <v>5</v>
      </c>
      <c r="J51">
        <v>3</v>
      </c>
      <c r="K51">
        <f ca="1">MATCH(J51,$H$45:$H$57,0)</f>
        <v>2</v>
      </c>
      <c r="L51" t="str">
        <f ca="1">INDEX($B$45:$B$57,K51)</f>
        <v>Philosopher</v>
      </c>
    </row>
    <row r="52" spans="2:12" x14ac:dyDescent="0.2">
      <c r="B52" t="s">
        <v>63</v>
      </c>
      <c r="C52" s="5">
        <v>1.808394590947376</v>
      </c>
      <c r="D52" s="5">
        <v>0.66515199668054659</v>
      </c>
      <c r="E52" s="4">
        <f t="shared" ca="1" si="8"/>
        <v>0.8083945440128314</v>
      </c>
      <c r="F52" s="4">
        <f t="shared" ca="1" si="9"/>
        <v>-0.33484799473974314</v>
      </c>
      <c r="G52" s="4">
        <f t="shared" ca="1" si="7"/>
        <v>3.2702931210145527</v>
      </c>
      <c r="H52">
        <f t="shared" ca="1" si="10"/>
        <v>2</v>
      </c>
    </row>
    <row r="53" spans="2:12" x14ac:dyDescent="0.2">
      <c r="B53" t="s">
        <v>64</v>
      </c>
      <c r="C53" s="5">
        <v>1</v>
      </c>
      <c r="D53" s="5">
        <v>1</v>
      </c>
      <c r="E53" s="4">
        <f t="shared" ca="1" si="8"/>
        <v>-1.683422157617762E-8</v>
      </c>
      <c r="F53" s="4">
        <f t="shared" ca="1" si="9"/>
        <v>-1.4438784174776141E-8</v>
      </c>
      <c r="G53" s="4">
        <f t="shared" ca="1" si="7"/>
        <v>1.1111110678168123</v>
      </c>
      <c r="H53">
        <f t="shared" ca="1" si="10"/>
        <v>8</v>
      </c>
    </row>
    <row r="54" spans="2:12" x14ac:dyDescent="0.2">
      <c r="B54" t="s">
        <v>65</v>
      </c>
      <c r="C54" s="5">
        <v>1.3535533905932737</v>
      </c>
      <c r="D54" s="5">
        <v>1.3535533905932737</v>
      </c>
      <c r="E54" s="4">
        <f t="shared" ca="1" si="8"/>
        <v>0.35355338942063702</v>
      </c>
      <c r="F54" s="4">
        <f t="shared" ca="1" si="9"/>
        <v>0.35355342836547599</v>
      </c>
      <c r="G54" s="4">
        <f t="shared" ca="1" si="7"/>
        <v>2.3039202014091718</v>
      </c>
      <c r="H54">
        <f t="shared" ca="1" si="10"/>
        <v>4</v>
      </c>
    </row>
    <row r="55" spans="2:12" x14ac:dyDescent="0.2">
      <c r="B55" t="s">
        <v>66</v>
      </c>
      <c r="C55" s="5">
        <v>0.64644660940672627</v>
      </c>
      <c r="D55" s="5">
        <v>1.3535533905932737</v>
      </c>
      <c r="E55" s="4">
        <f t="shared" ca="1" si="8"/>
        <v>-0.35355338493649441</v>
      </c>
      <c r="F55" s="4">
        <f t="shared" ca="1" si="9"/>
        <v>0.35355343765130903</v>
      </c>
      <c r="G55" s="4">
        <f t="shared" ca="1" si="7"/>
        <v>0.88970666228077278</v>
      </c>
      <c r="H55">
        <f t="shared" ca="1" si="10"/>
        <v>9</v>
      </c>
    </row>
    <row r="56" spans="2:12" x14ac:dyDescent="0.2">
      <c r="B56" t="s">
        <v>67</v>
      </c>
      <c r="C56" s="5">
        <v>0.64644660940672616</v>
      </c>
      <c r="D56" s="5">
        <v>0.64644660940672627</v>
      </c>
      <c r="E56" s="4">
        <f t="shared" ca="1" si="8"/>
        <v>-0.35355343101634495</v>
      </c>
      <c r="F56" s="4">
        <f t="shared" ca="1" si="9"/>
        <v>-0.3535534002282974</v>
      </c>
      <c r="G56" s="4">
        <f t="shared" ca="1" si="7"/>
        <v>0.4183020176559763</v>
      </c>
      <c r="H56">
        <f t="shared" ca="1" si="10"/>
        <v>12</v>
      </c>
    </row>
    <row r="57" spans="2:12" x14ac:dyDescent="0.2">
      <c r="B57" t="s">
        <v>68</v>
      </c>
      <c r="C57" s="5">
        <v>1.3535533905932737</v>
      </c>
      <c r="D57" s="5">
        <v>0.64644660940672616</v>
      </c>
      <c r="E57" s="4">
        <f t="shared" ca="1" si="8"/>
        <v>0.35355334601152882</v>
      </c>
      <c r="F57" s="4">
        <f t="shared" ca="1" si="9"/>
        <v>-0.35355340383696798</v>
      </c>
      <c r="G57" s="4">
        <f t="shared" ca="1" si="7"/>
        <v>1.8325155117501772</v>
      </c>
      <c r="H57">
        <f t="shared" ca="1" si="10"/>
        <v>6</v>
      </c>
    </row>
  </sheetData>
  <sheetProtection algorithmName="SHA-512" hashValue="hAiJA7JwY5QW38r6zrjILBtLcEQFtN9JckPcK+Vvhzn+va+AbP6oE+DUMdyQhxSZxfeJ2qi46qOaA9PpdbmQYQ==" saltValue="85tD0aZZga8olOFOITKgmQ==" spinCount="100000" sheet="1" objects="1" scenarios="1" selectLockedCells="1" selectUnlockedCells="1"/>
  <sortState xmlns:xlrd2="http://schemas.microsoft.com/office/spreadsheetml/2017/richdata2" ref="B6:H39">
    <sortCondition ref="B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Self_Assessment</vt:lpstr>
      <vt:lpstr>Team Analysis</vt:lpstr>
      <vt:lpstr>Fun and Games</vt:lpstr>
      <vt:lpstr>Numbers</vt:lpstr>
      <vt:lpstr>Self_Assessment!Print_Area</vt:lpstr>
    </vt:vector>
  </TitlesOfParts>
  <Company>Access Research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Warfield</dc:creator>
  <cp:lastModifiedBy>Bob Warfield</cp:lastModifiedBy>
  <cp:lastPrinted>2016-02-25T07:45:06Z</cp:lastPrinted>
  <dcterms:created xsi:type="dcterms:W3CDTF">2016-02-25T06:23:54Z</dcterms:created>
  <dcterms:modified xsi:type="dcterms:W3CDTF">2020-10-17T09:07:00Z</dcterms:modified>
</cp:coreProperties>
</file>