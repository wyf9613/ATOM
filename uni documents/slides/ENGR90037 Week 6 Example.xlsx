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minli/Desktop/"/>
    </mc:Choice>
  </mc:AlternateContent>
  <xr:revisionPtr revIDLastSave="0" documentId="8_{0B751CD0-D8C9-4E43-8B84-18D5039E66B5}" xr6:coauthVersionLast="47" xr6:coauthVersionMax="47" xr10:uidLastSave="{00000000-0000-0000-0000-000000000000}"/>
  <bookViews>
    <workbookView xWindow="0" yWindow="1860" windowWidth="34200" windowHeight="19100" xr2:uid="{2F496732-F6FD-4A4F-A924-FFB885B848AE}"/>
  </bookViews>
  <sheets>
    <sheet name="01_actual_cash_flow" sheetId="1" r:id="rId1"/>
    <sheet name="DCF" sheetId="3" r:id="rId2"/>
    <sheet name="Finding IRR with trial and erro" sheetId="4" r:id="rId3"/>
    <sheet name="Finding IRR with goalseek" sheetId="7" r:id="rId4"/>
    <sheet name="Expense Sensitivity" sheetId="5" r:id="rId5"/>
    <sheet name="Revenue sensitiv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6" l="1"/>
  <c r="K12" i="6"/>
  <c r="K13" i="6"/>
  <c r="K14" i="6"/>
  <c r="K15" i="6"/>
  <c r="K16" i="6"/>
  <c r="K17" i="6"/>
  <c r="K10" i="6"/>
  <c r="K40" i="6"/>
  <c r="K41" i="6"/>
  <c r="K42" i="6"/>
  <c r="K43" i="6"/>
  <c r="K44" i="6"/>
  <c r="K45" i="6"/>
  <c r="K46" i="6"/>
  <c r="K39" i="6"/>
  <c r="M39" i="6" s="1"/>
  <c r="L40" i="6"/>
  <c r="L41" i="6"/>
  <c r="L42" i="6"/>
  <c r="L43" i="6"/>
  <c r="L44" i="6"/>
  <c r="L45" i="6"/>
  <c r="L46" i="6"/>
  <c r="L39" i="6"/>
  <c r="I41" i="6"/>
  <c r="I42" i="6"/>
  <c r="I43" i="6"/>
  <c r="I44" i="6"/>
  <c r="I45" i="6"/>
  <c r="I46" i="6"/>
  <c r="I40" i="6"/>
  <c r="J40" i="6"/>
  <c r="J41" i="6"/>
  <c r="J42" i="6"/>
  <c r="J43" i="6"/>
  <c r="J44" i="6"/>
  <c r="J45" i="6"/>
  <c r="J46" i="6"/>
  <c r="J39" i="6"/>
  <c r="I42" i="5"/>
  <c r="I43" i="5"/>
  <c r="I44" i="5"/>
  <c r="I45" i="5"/>
  <c r="I46" i="5"/>
  <c r="I47" i="5"/>
  <c r="J47" i="5" s="1"/>
  <c r="I48" i="5"/>
  <c r="J48" i="5" s="1"/>
  <c r="I41" i="5"/>
  <c r="I28" i="5"/>
  <c r="I29" i="5"/>
  <c r="I30" i="5"/>
  <c r="I31" i="5"/>
  <c r="I32" i="5"/>
  <c r="J32" i="5" s="1"/>
  <c r="L32" i="5" s="1"/>
  <c r="I33" i="5"/>
  <c r="I34" i="5"/>
  <c r="J34" i="5" s="1"/>
  <c r="I27" i="5"/>
  <c r="L14" i="7"/>
  <c r="L15" i="7"/>
  <c r="L16" i="7"/>
  <c r="M16" i="7" s="1"/>
  <c r="L17" i="7"/>
  <c r="M17" i="7" s="1"/>
  <c r="L18" i="7"/>
  <c r="M18" i="7" s="1"/>
  <c r="L19" i="7"/>
  <c r="M19" i="7" s="1"/>
  <c r="L20" i="7"/>
  <c r="M20" i="7" s="1"/>
  <c r="L13" i="7"/>
  <c r="M13" i="7" s="1"/>
  <c r="M15" i="7"/>
  <c r="M14" i="7"/>
  <c r="I9" i="3"/>
  <c r="H9" i="3"/>
  <c r="H10" i="3"/>
  <c r="H11" i="3"/>
  <c r="H12" i="3"/>
  <c r="H13" i="3"/>
  <c r="H14" i="3"/>
  <c r="H15" i="3"/>
  <c r="H8" i="3"/>
  <c r="J25" i="6"/>
  <c r="J26" i="6"/>
  <c r="J27" i="6"/>
  <c r="J28" i="6"/>
  <c r="J29" i="6"/>
  <c r="J30" i="6"/>
  <c r="J31" i="6"/>
  <c r="J24" i="6"/>
  <c r="L25" i="6"/>
  <c r="L26" i="6"/>
  <c r="L27" i="6"/>
  <c r="L28" i="6"/>
  <c r="L29" i="6"/>
  <c r="L30" i="6"/>
  <c r="L31" i="6"/>
  <c r="L24" i="6"/>
  <c r="L11" i="6"/>
  <c r="L12" i="6"/>
  <c r="L13" i="6"/>
  <c r="L14" i="6"/>
  <c r="L15" i="6"/>
  <c r="M15" i="6" s="1"/>
  <c r="L16" i="6"/>
  <c r="M16" i="6" s="1"/>
  <c r="L17" i="6"/>
  <c r="M17" i="6" s="1"/>
  <c r="L10" i="6"/>
  <c r="M10" i="6" s="1"/>
  <c r="I25" i="6"/>
  <c r="I26" i="6"/>
  <c r="I27" i="6"/>
  <c r="I28" i="6"/>
  <c r="I29" i="6"/>
  <c r="I30" i="6"/>
  <c r="I31" i="6"/>
  <c r="I24" i="6"/>
  <c r="K25" i="6"/>
  <c r="M25" i="6" s="1"/>
  <c r="K26" i="6"/>
  <c r="M26" i="6" s="1"/>
  <c r="K27" i="6"/>
  <c r="M27" i="6" s="1"/>
  <c r="K28" i="6"/>
  <c r="M28" i="6" s="1"/>
  <c r="K29" i="6"/>
  <c r="K30" i="6"/>
  <c r="K31" i="6"/>
  <c r="K24" i="6"/>
  <c r="M46" i="6"/>
  <c r="M45" i="6"/>
  <c r="M42" i="6"/>
  <c r="M41" i="6"/>
  <c r="M40" i="6"/>
  <c r="M14" i="6"/>
  <c r="M13" i="6"/>
  <c r="M12" i="6"/>
  <c r="M11" i="6"/>
  <c r="J28" i="5"/>
  <c r="J29" i="5"/>
  <c r="J30" i="5"/>
  <c r="L30" i="5" s="1"/>
  <c r="J31" i="5"/>
  <c r="J33" i="5"/>
  <c r="K34" i="5"/>
  <c r="K33" i="5"/>
  <c r="K32" i="5"/>
  <c r="K31" i="5"/>
  <c r="K30" i="5"/>
  <c r="K29" i="5"/>
  <c r="K28" i="5"/>
  <c r="K27" i="5"/>
  <c r="J27" i="5"/>
  <c r="L27" i="5" s="1"/>
  <c r="K42" i="5"/>
  <c r="K43" i="5"/>
  <c r="K44" i="5"/>
  <c r="K45" i="5"/>
  <c r="K46" i="5"/>
  <c r="K47" i="5"/>
  <c r="K48" i="5"/>
  <c r="K41" i="5"/>
  <c r="K14" i="5"/>
  <c r="L14" i="5" s="1"/>
  <c r="K15" i="5"/>
  <c r="L15" i="5" s="1"/>
  <c r="K16" i="5"/>
  <c r="K17" i="5"/>
  <c r="L17" i="5" s="1"/>
  <c r="K18" i="5"/>
  <c r="L18" i="5" s="1"/>
  <c r="K19" i="5"/>
  <c r="L19" i="5" s="1"/>
  <c r="K20" i="5"/>
  <c r="L20" i="5" s="1"/>
  <c r="K13" i="5"/>
  <c r="L13" i="5" s="1"/>
  <c r="J42" i="5"/>
  <c r="J43" i="5"/>
  <c r="J44" i="5"/>
  <c r="L44" i="5" s="1"/>
  <c r="J45" i="5"/>
  <c r="J46" i="5"/>
  <c r="J41" i="5"/>
  <c r="L16" i="5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0" i="4"/>
  <c r="I10" i="4" s="1"/>
  <c r="J9" i="3"/>
  <c r="I10" i="3"/>
  <c r="I11" i="3"/>
  <c r="J11" i="3" s="1"/>
  <c r="I12" i="3"/>
  <c r="J12" i="3" s="1"/>
  <c r="I13" i="3"/>
  <c r="I14" i="3"/>
  <c r="J14" i="3" s="1"/>
  <c r="I15" i="3"/>
  <c r="J15" i="3" s="1"/>
  <c r="I8" i="3"/>
  <c r="M44" i="6" l="1"/>
  <c r="M43" i="6"/>
  <c r="M48" i="6"/>
  <c r="M22" i="7"/>
  <c r="J13" i="3"/>
  <c r="J10" i="3"/>
  <c r="J8" i="3"/>
  <c r="M24" i="6"/>
  <c r="M31" i="6"/>
  <c r="M29" i="6"/>
  <c r="M30" i="6"/>
  <c r="M33" i="6"/>
  <c r="M19" i="6"/>
  <c r="L31" i="5"/>
  <c r="L28" i="5"/>
  <c r="L33" i="5"/>
  <c r="L29" i="5"/>
  <c r="L34" i="5"/>
  <c r="L47" i="5"/>
  <c r="L46" i="5"/>
  <c r="L22" i="5"/>
  <c r="L48" i="5"/>
  <c r="L42" i="5"/>
  <c r="L43" i="5"/>
  <c r="L45" i="5"/>
  <c r="L41" i="5"/>
  <c r="I19" i="4"/>
  <c r="J17" i="3"/>
  <c r="L50" i="5" l="1"/>
  <c r="L36" i="5"/>
</calcChain>
</file>

<file path=xl/sharedStrings.xml><?xml version="1.0" encoding="utf-8"?>
<sst xmlns="http://schemas.openxmlformats.org/spreadsheetml/2006/main" count="96" uniqueCount="19">
  <si>
    <t>Year</t>
  </si>
  <si>
    <t>Revenue</t>
  </si>
  <si>
    <t>Expense</t>
  </si>
  <si>
    <t>Cumulative Cash Flows</t>
  </si>
  <si>
    <t>Net cash Fow</t>
  </si>
  <si>
    <t xml:space="preserve"> $                                               -  </t>
  </si>
  <si>
    <t>Rate of return</t>
  </si>
  <si>
    <t>Discount factor</t>
  </si>
  <si>
    <t>Net Cash Flow</t>
  </si>
  <si>
    <t>Discount Cash Flow</t>
  </si>
  <si>
    <t>NPV</t>
  </si>
  <si>
    <t>Expense change</t>
  </si>
  <si>
    <t> s</t>
  </si>
  <si>
    <t>NPV change</t>
  </si>
  <si>
    <t>No change in Expense</t>
  </si>
  <si>
    <t>Expenses increase by 5%</t>
  </si>
  <si>
    <t>Expenses increase by 10%</t>
  </si>
  <si>
    <t>Revenue change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</si>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</sst>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8"/>
      <color rgb="FF000000"/>
      <name val="Arial"/>
      <family val="2"/>
    </font>
    <font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44" fontId="0" fillId="0" borderId="0" xfId="0" applyNumberFormat="1"/>
    <xf numFmtId="44" fontId="14" fillId="0" borderId="0" xfId="0" applyNumberFormat="1" applyFont="1"/>
    <xf numFmtId="0" fontId="18" fillId="0" borderId="0" xfId="0" applyFont="1"/>
    <xf numFmtId="44" fontId="0" fillId="0" borderId="10" xfId="0" applyNumberFormat="1" applyBorder="1"/>
    <xf numFmtId="44" fontId="14" fillId="0" borderId="10" xfId="0" applyNumberFormat="1" applyFont="1" applyBorder="1"/>
    <xf numFmtId="0" fontId="19" fillId="0" borderId="0" xfId="0" applyFont="1"/>
    <xf numFmtId="44" fontId="19" fillId="0" borderId="0" xfId="0" applyNumberFormat="1" applyFont="1"/>
    <xf numFmtId="9" fontId="20" fillId="0" borderId="0" xfId="0" applyNumberFormat="1" applyFont="1"/>
    <xf numFmtId="10" fontId="0" fillId="0" borderId="0" xfId="0" applyNumberFormat="1"/>
    <xf numFmtId="0" fontId="21" fillId="0" borderId="0" xfId="0" applyFont="1"/>
    <xf numFmtId="9" fontId="0" fillId="0" borderId="0" xfId="0" applyNumberFormat="1"/>
    <xf numFmtId="9" fontId="0" fillId="0" borderId="0" xfId="42" applyFont="1"/>
    <xf numFmtId="44" fontId="0" fillId="0" borderId="0" xfId="0" applyNumberFormat="1" applyFont="1"/>
    <xf numFmtId="44" fontId="0" fillId="0" borderId="15" xfId="0" applyNumberFormat="1" applyBorder="1"/>
    <xf numFmtId="44" fontId="0" fillId="0" borderId="17" xfId="0" applyNumberFormat="1" applyBorder="1"/>
    <xf numFmtId="0" fontId="0" fillId="0" borderId="18" xfId="0" applyBorder="1"/>
    <xf numFmtId="9" fontId="0" fillId="0" borderId="14" xfId="0" applyNumberFormat="1" applyBorder="1"/>
    <xf numFmtId="9" fontId="0" fillId="0" borderId="16" xfId="0" applyNumberFormat="1" applyBorder="1"/>
    <xf numFmtId="0" fontId="0" fillId="33" borderId="11" xfId="0" applyFill="1" applyBorder="1"/>
    <xf numFmtId="0" fontId="0" fillId="33" borderId="19" xfId="0" applyFill="1" applyBorder="1"/>
    <xf numFmtId="9" fontId="20" fillId="0" borderId="19" xfId="0" applyNumberFormat="1" applyFont="1" applyBorder="1"/>
    <xf numFmtId="44" fontId="0" fillId="0" borderId="19" xfId="0" applyNumberFormat="1" applyBorder="1"/>
    <xf numFmtId="0" fontId="21" fillId="0" borderId="12" xfId="0" applyFont="1" applyBorder="1"/>
    <xf numFmtId="0" fontId="21" fillId="0" borderId="20" xfId="0" applyFont="1" applyBorder="1"/>
    <xf numFmtId="0" fontId="21" fillId="0" borderId="13" xfId="0" applyFont="1" applyBorder="1"/>
    <xf numFmtId="0" fontId="19" fillId="0" borderId="14" xfId="0" applyFont="1" applyBorder="1"/>
    <xf numFmtId="44" fontId="19" fillId="0" borderId="0" xfId="0" applyNumberFormat="1" applyFont="1" applyBorder="1"/>
    <xf numFmtId="44" fontId="14" fillId="0" borderId="0" xfId="0" applyNumberFormat="1" applyFont="1" applyBorder="1"/>
    <xf numFmtId="10" fontId="0" fillId="0" borderId="0" xfId="0" applyNumberFormat="1" applyBorder="1"/>
    <xf numFmtId="44" fontId="14" fillId="0" borderId="15" xfId="0" applyNumberFormat="1" applyFont="1" applyBorder="1"/>
    <xf numFmtId="0" fontId="19" fillId="0" borderId="16" xfId="0" applyFont="1" applyBorder="1"/>
    <xf numFmtId="44" fontId="19" fillId="0" borderId="21" xfId="0" applyNumberFormat="1" applyFont="1" applyBorder="1"/>
    <xf numFmtId="44" fontId="14" fillId="0" borderId="21" xfId="0" applyNumberFormat="1" applyFont="1" applyBorder="1"/>
    <xf numFmtId="10" fontId="0" fillId="0" borderId="21" xfId="0" applyNumberFormat="1" applyBorder="1"/>
    <xf numFmtId="0" fontId="21" fillId="0" borderId="10" xfId="0" applyFont="1" applyBorder="1"/>
    <xf numFmtId="0" fontId="19" fillId="0" borderId="10" xfId="0" applyFont="1" applyBorder="1"/>
    <xf numFmtId="44" fontId="19" fillId="0" borderId="10" xfId="0" applyNumberFormat="1" applyFont="1" applyBorder="1"/>
    <xf numFmtId="10" fontId="0" fillId="0" borderId="10" xfId="0" applyNumberFormat="1" applyBorder="1"/>
    <xf numFmtId="0" fontId="21" fillId="0" borderId="22" xfId="0" applyFont="1" applyBorder="1"/>
    <xf numFmtId="0" fontId="21" fillId="0" borderId="23" xfId="0" applyFont="1" applyBorder="1"/>
    <xf numFmtId="0" fontId="21" fillId="0" borderId="24" xfId="0" applyFont="1" applyBorder="1"/>
    <xf numFmtId="0" fontId="19" fillId="0" borderId="25" xfId="0" applyFont="1" applyBorder="1"/>
    <xf numFmtId="44" fontId="14" fillId="0" borderId="26" xfId="0" applyNumberFormat="1" applyFont="1" applyBorder="1"/>
    <xf numFmtId="44" fontId="0" fillId="0" borderId="26" xfId="0" applyNumberFormat="1" applyBorder="1"/>
    <xf numFmtId="0" fontId="19" fillId="0" borderId="27" xfId="0" applyFont="1" applyBorder="1"/>
    <xf numFmtId="44" fontId="19" fillId="0" borderId="28" xfId="0" applyNumberFormat="1" applyFont="1" applyBorder="1"/>
    <xf numFmtId="44" fontId="14" fillId="0" borderId="28" xfId="0" applyNumberFormat="1" applyFont="1" applyBorder="1"/>
    <xf numFmtId="10" fontId="0" fillId="0" borderId="28" xfId="0" applyNumberFormat="1" applyBorder="1"/>
    <xf numFmtId="44" fontId="0" fillId="0" borderId="29" xfId="0" applyNumberFormat="1" applyBorder="1"/>
    <xf numFmtId="0" fontId="21" fillId="0" borderId="14" xfId="0" applyFont="1" applyBorder="1"/>
    <xf numFmtId="0" fontId="21" fillId="0" borderId="0" xfId="0" applyFont="1" applyBorder="1"/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44" fontId="0" fillId="0" borderId="0" xfId="0" applyNumberFormat="1" applyBorder="1"/>
    <xf numFmtId="44" fontId="0" fillId="0" borderId="21" xfId="0" applyNumberFormat="1" applyBorder="1"/>
    <xf numFmtId="0" fontId="22" fillId="0" borderId="12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9" fontId="22" fillId="0" borderId="13" xfId="0" applyNumberFormat="1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9" fontId="22" fillId="0" borderId="15" xfId="0" applyNumberFormat="1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9" fontId="22" fillId="0" borderId="17" xfId="0" applyNumberFormat="1" applyFont="1" applyBorder="1" applyAlignment="1">
      <alignment horizontal="center"/>
    </xf>
    <xf numFmtId="9" fontId="22" fillId="0" borderId="30" xfId="0" applyNumberFormat="1" applyFont="1" applyBorder="1" applyAlignment="1">
      <alignment horizontal="center"/>
    </xf>
    <xf numFmtId="9" fontId="22" fillId="0" borderId="31" xfId="0" applyNumberFormat="1" applyFont="1" applyBorder="1" applyAlignment="1">
      <alignment horizontal="center"/>
    </xf>
    <xf numFmtId="9" fontId="22" fillId="0" borderId="32" xfId="0" applyNumberFormat="1" applyFont="1" applyBorder="1" applyAlignment="1">
      <alignment horizontal="center"/>
    </xf>
    <xf numFmtId="44" fontId="0" fillId="34" borderId="19" xfId="0" applyNumberFormat="1" applyFill="1" applyBorder="1"/>
    <xf numFmtId="44" fontId="0" fillId="0" borderId="10" xfId="0" applyNumberFormat="1" applyFont="1" applyBorder="1"/>
    <xf numFmtId="44" fontId="0" fillId="0" borderId="28" xfId="0" applyNumberFormat="1" applyFont="1" applyBorder="1"/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0" fontId="0" fillId="0" borderId="25" xfId="0" applyBorder="1"/>
    <xf numFmtId="0" fontId="0" fillId="0" borderId="27" xfId="0" applyBorder="1"/>
    <xf numFmtId="44" fontId="0" fillId="0" borderId="28" xfId="0" applyNumberFormat="1" applyBorder="1"/>
    <xf numFmtId="44" fontId="0" fillId="34" borderId="29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Net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'01_actual_cash_flow'!$D$1</c:f>
              <c:strCache>
                <c:ptCount val="1"/>
                <c:pt idx="0">
                  <c:v>Net cash Fow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'01_actual_cash_flow'!$A$2:$A$9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'01_actual_cash_flow'!$D$2:$D$9</c:f>
              <c:numCache>
                <c:formatCode>_("$"* #,##0.00_);_("$"* \(#,##0.00\);_("$"* "-"??_);_(@_)</c:formatCode>
                <c:ptCount val="8"/>
                <c:pt idx="0">
                  <c:v>-420000</c:v>
                </c:pt>
                <c:pt idx="1">
                  <c:v>-620000</c:v>
                </c:pt>
                <c:pt idx="2">
                  <c:v>-450000</c:v>
                </c:pt>
                <c:pt idx="3">
                  <c:v>140000</c:v>
                </c:pt>
                <c:pt idx="4">
                  <c:v>780000</c:v>
                </c:pt>
                <c:pt idx="5">
                  <c:v>1500000</c:v>
                </c:pt>
                <c:pt idx="6">
                  <c:v>2150000</c:v>
                </c:pt>
                <c:pt idx="7">
                  <c:v>2700000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E-A845-A70D-5BE2EABBD8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5"/>
        <c:axId val="2044275647"/>
        <c:axId val="2044268031"/>
      </c:barChart>
      <c:catAx>
        <c:axId val="204427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68031"/>
        <c:crosses val="autoZero"/>
        <c:auto val="1"/>
        <c:lblAlgn val="ctr"/>
        <c:lblOffset val="100"/>
        <c:noMultiLvlLbl val="0"/>
      </c:catAx>
      <c:valAx>
        <c:axId val="204426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7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Cumulative Cash 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'01_actual_cash_flow'!$E$1</c:f>
              <c:strCache>
                <c:ptCount val="1"/>
                <c:pt idx="0">
                  <c:v>Cumulative Cash Flows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'01_actual_cash_flow'!$A$2:$A$9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'01_actual_cash_flow'!$E$2:$E$9</c:f>
              <c:numCache>
                <c:formatCode>_("$"* #,##0.00_);_("$"* \(#,##0.00\);_("$"* "-"??_);_(@_)</c:formatCode>
                <c:ptCount val="8"/>
                <c:pt idx="0">
                  <c:v>-420000</c:v>
                </c:pt>
                <c:pt idx="1">
                  <c:v>-1040000</c:v>
                </c:pt>
                <c:pt idx="2">
                  <c:v>-1490000</c:v>
                </c:pt>
                <c:pt idx="3">
                  <c:v>-1350000</c:v>
                </c:pt>
                <c:pt idx="4">
                  <c:v>-570000</c:v>
                </c:pt>
                <c:pt idx="5">
                  <c:v>930000</c:v>
                </c:pt>
                <c:pt idx="6">
                  <c:v>3080000</c:v>
                </c:pt>
                <c:pt idx="7">
                  <c:v>5780000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7-0440-BCED-1675D824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4"/>
        <c:axId val="2069326335"/>
        <c:axId val="2069328127"/>
      </c:barChart>
      <c:catAx>
        <c:axId val="206932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328127"/>
        <c:crosses val="autoZero"/>
        <c:auto val="1"/>
        <c:lblAlgn val="ctr"/>
        <c:lblOffset val="100"/>
        <c:noMultiLvlLbl val="0"/>
      </c:catAx>
      <c:valAx>
        <c:axId val="206932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32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13</xdr:row>
      <xdr:rowOff>0</xdr:rowOff>
    </xdr:from>
    <xdr:to>
      <xdr:col>4</xdr:col>
      <xdr:colOff>1224280</xdr:colOff>
      <xdr:row>30</xdr:row>
      <xdr:rowOff>10160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BFAEBE-BBF6-F6FC-0077-FAEE1D9FD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1747520</xdr:colOff>
      <xdr:row>13</xdr:row>
      <xdr:rowOff>20320</xdr:rowOff>
    </xdr:from>
    <xdr:to>
      <xdr:col>7</xdr:col>
      <xdr:colOff>142240</xdr:colOff>
      <xdr:row>26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ED8075-BD0D-2658-20C8-D0C7BC1D3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A094-5B60-5243-997B-328DF12F3205}">
  <dimension ref="A1:F9"/>
  <sheetViews>
    <sheetView tabSelected="1" zoomScale="125" workbookViewId="0">
      <selection activeCell="F9" sqref="F9"/>
    </sheetView>
  </sheetViews>
  <sheetFormatPr baseColWidth="10" defaultRowHeight="16" x14ac:dyDescent="0.2"/>
  <cols>
    <col min="1" max="1" width="9" customWidth="1"/>
    <col min="2" max="3" width="19.5" customWidth="1"/>
    <col min="4" max="4" width="20.1640625" customWidth="1"/>
    <col min="5" max="5" width="30.5" bestFit="1" customWidth="1"/>
    <col min="6" max="6" width="39.6640625" bestFit="1" customWidth="1"/>
  </cols>
  <sheetData>
    <row r="1" spans="1:6" ht="24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/>
    </row>
    <row r="2" spans="1:6" x14ac:dyDescent="0.2">
      <c r="A2">
        <v>1</v>
      </c>
      <c r="B2" s="1">
        <v>0</v>
      </c>
      <c r="C2" s="2">
        <v>-420000</v>
      </c>
      <c r="D2" s="2">
        <v>-420000</v>
      </c>
      <c r="E2" s="2">
        <v>-420000</v>
      </c>
      <c r="F2" s="2"/>
    </row>
    <row r="3" spans="1:6" x14ac:dyDescent="0.2">
      <c r="A3">
        <v>2</v>
      </c>
      <c r="B3" s="1">
        <v>60000</v>
      </c>
      <c r="C3" s="2">
        <v>-680000</v>
      </c>
      <c r="D3" s="2">
        <v>-620000</v>
      </c>
      <c r="E3" s="2">
        <v>-1040000</v>
      </c>
      <c r="F3" s="2"/>
    </row>
    <row r="4" spans="1:6" x14ac:dyDescent="0.2">
      <c r="A4">
        <v>3</v>
      </c>
      <c r="B4" s="1">
        <v>400000</v>
      </c>
      <c r="C4" s="2">
        <v>-850000</v>
      </c>
      <c r="D4" s="2">
        <v>-450000</v>
      </c>
      <c r="E4" s="2">
        <v>-1490000</v>
      </c>
      <c r="F4" s="2"/>
    </row>
    <row r="5" spans="1:6" x14ac:dyDescent="0.2">
      <c r="A5">
        <v>4</v>
      </c>
      <c r="B5" s="1">
        <v>1150000</v>
      </c>
      <c r="C5" s="2">
        <v>-1010000</v>
      </c>
      <c r="D5" s="1">
        <v>140000</v>
      </c>
      <c r="E5" s="2">
        <v>-1350000</v>
      </c>
      <c r="F5" s="1"/>
    </row>
    <row r="6" spans="1:6" x14ac:dyDescent="0.2">
      <c r="A6">
        <v>5</v>
      </c>
      <c r="B6" s="1">
        <v>2100000</v>
      </c>
      <c r="C6" s="2">
        <v>-1320000</v>
      </c>
      <c r="D6" s="1">
        <v>780000</v>
      </c>
      <c r="E6" s="2">
        <v>-570000</v>
      </c>
      <c r="F6" s="1"/>
    </row>
    <row r="7" spans="1:6" x14ac:dyDescent="0.2">
      <c r="A7">
        <v>6</v>
      </c>
      <c r="B7" s="1">
        <v>3200000</v>
      </c>
      <c r="C7" s="2">
        <v>-1700000</v>
      </c>
      <c r="D7" s="1">
        <v>1500000</v>
      </c>
      <c r="E7" s="1">
        <v>930000</v>
      </c>
      <c r="F7" s="1"/>
    </row>
    <row r="8" spans="1:6" x14ac:dyDescent="0.2">
      <c r="A8">
        <v>7</v>
      </c>
      <c r="B8" s="1">
        <v>4300000</v>
      </c>
      <c r="C8" s="2">
        <v>-2150000</v>
      </c>
      <c r="D8" s="1">
        <v>2150000</v>
      </c>
      <c r="E8" s="1">
        <v>3080000</v>
      </c>
      <c r="F8" s="1"/>
    </row>
    <row r="9" spans="1:6" x14ac:dyDescent="0.2">
      <c r="A9">
        <v>8</v>
      </c>
      <c r="B9" s="1">
        <v>5200000</v>
      </c>
      <c r="C9" s="2">
        <v>-2500000</v>
      </c>
      <c r="D9" s="1">
        <v>2700000</v>
      </c>
      <c r="E9" s="1">
        <v>5780000</v>
      </c>
      <c r="F9" s="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8221-7113-784F-A879-DF090B652AD6}">
  <dimension ref="E6:P17"/>
  <sheetViews>
    <sheetView topLeftCell="D2" zoomScale="125" workbookViewId="0">
      <selection activeCell="L21" sqref="L21"/>
    </sheetView>
  </sheetViews>
  <sheetFormatPr baseColWidth="10" defaultRowHeight="16" x14ac:dyDescent="0.2"/>
  <cols>
    <col min="3" max="3" width="12.1640625" bestFit="1" customWidth="1"/>
    <col min="4" max="4" width="4.6640625" bestFit="1" customWidth="1"/>
    <col min="5" max="5" width="7.83203125" bestFit="1" customWidth="1"/>
    <col min="6" max="6" width="21" bestFit="1" customWidth="1"/>
    <col min="7" max="7" width="15.1640625" bestFit="1" customWidth="1"/>
    <col min="8" max="8" width="21.33203125" bestFit="1" customWidth="1"/>
    <col min="9" max="9" width="21.83203125" bestFit="1" customWidth="1"/>
    <col min="10" max="10" width="28.6640625" bestFit="1" customWidth="1"/>
    <col min="13" max="13" width="14.5" bestFit="1" customWidth="1"/>
    <col min="14" max="14" width="15.1640625" bestFit="1" customWidth="1"/>
    <col min="15" max="15" width="17.83203125" bestFit="1" customWidth="1"/>
    <col min="16" max="16" width="30" bestFit="1" customWidth="1"/>
  </cols>
  <sheetData>
    <row r="6" spans="5:16" ht="17" thickBot="1" x14ac:dyDescent="0.25"/>
    <row r="7" spans="5:16" ht="24" x14ac:dyDescent="0.3">
      <c r="E7" s="39" t="s">
        <v>0</v>
      </c>
      <c r="F7" s="40" t="s">
        <v>1</v>
      </c>
      <c r="G7" s="40" t="s">
        <v>2</v>
      </c>
      <c r="H7" s="40" t="s">
        <v>8</v>
      </c>
      <c r="I7" s="40" t="s">
        <v>7</v>
      </c>
      <c r="J7" s="41" t="s">
        <v>9</v>
      </c>
      <c r="L7" s="73" t="s">
        <v>0</v>
      </c>
      <c r="M7" s="74" t="s">
        <v>1</v>
      </c>
      <c r="N7" s="74" t="s">
        <v>2</v>
      </c>
      <c r="O7" s="74" t="s">
        <v>4</v>
      </c>
      <c r="P7" s="75" t="s">
        <v>3</v>
      </c>
    </row>
    <row r="8" spans="5:16" x14ac:dyDescent="0.2">
      <c r="E8" s="42">
        <v>1</v>
      </c>
      <c r="F8" s="37">
        <v>0</v>
      </c>
      <c r="G8" s="5">
        <v>-420000</v>
      </c>
      <c r="H8" s="5">
        <f>F8+G8</f>
        <v>-420000</v>
      </c>
      <c r="I8" s="38">
        <f t="shared" ref="I8:I15" si="0">1/(1+$G$17)^E8</f>
        <v>0.90909090909090906</v>
      </c>
      <c r="J8" s="43">
        <f t="shared" ref="J8:J15" si="1">I8*H8</f>
        <v>-381818.18181818182</v>
      </c>
      <c r="L8" s="76">
        <v>1</v>
      </c>
      <c r="M8" s="4">
        <v>0</v>
      </c>
      <c r="N8" s="5">
        <v>-420000</v>
      </c>
      <c r="O8" s="5">
        <v>-420000</v>
      </c>
      <c r="P8" s="43">
        <v>-420000</v>
      </c>
    </row>
    <row r="9" spans="5:16" x14ac:dyDescent="0.2">
      <c r="E9" s="42">
        <v>2</v>
      </c>
      <c r="F9" s="37">
        <v>60000</v>
      </c>
      <c r="G9" s="5">
        <v>-680000</v>
      </c>
      <c r="H9" s="5">
        <f t="shared" ref="H9:H15" si="2">F9+G9</f>
        <v>-620000</v>
      </c>
      <c r="I9" s="38">
        <f>1/(1+$G$17)^E9</f>
        <v>0.82644628099173545</v>
      </c>
      <c r="J9" s="43">
        <f t="shared" si="1"/>
        <v>-512396.69421487598</v>
      </c>
      <c r="L9" s="76">
        <v>2</v>
      </c>
      <c r="M9" s="4">
        <v>60000</v>
      </c>
      <c r="N9" s="5">
        <v>-680000</v>
      </c>
      <c r="O9" s="5">
        <v>-620000</v>
      </c>
      <c r="P9" s="43">
        <v>-1040000</v>
      </c>
    </row>
    <row r="10" spans="5:16" x14ac:dyDescent="0.2">
      <c r="E10" s="42">
        <v>3</v>
      </c>
      <c r="F10" s="37">
        <v>400000</v>
      </c>
      <c r="G10" s="5">
        <v>-850000</v>
      </c>
      <c r="H10" s="5">
        <f t="shared" si="2"/>
        <v>-450000</v>
      </c>
      <c r="I10" s="38">
        <f t="shared" si="0"/>
        <v>0.75131480090157754</v>
      </c>
      <c r="J10" s="43">
        <f t="shared" si="1"/>
        <v>-338091.66040570987</v>
      </c>
      <c r="L10" s="76">
        <v>3</v>
      </c>
      <c r="M10" s="4">
        <v>400000</v>
      </c>
      <c r="N10" s="5">
        <v>-850000</v>
      </c>
      <c r="O10" s="5">
        <v>-450000</v>
      </c>
      <c r="P10" s="43">
        <v>-1490000</v>
      </c>
    </row>
    <row r="11" spans="5:16" x14ac:dyDescent="0.2">
      <c r="E11" s="42">
        <v>4</v>
      </c>
      <c r="F11" s="37">
        <v>1150000</v>
      </c>
      <c r="G11" s="5">
        <v>-1010000</v>
      </c>
      <c r="H11" s="71">
        <f t="shared" si="2"/>
        <v>140000</v>
      </c>
      <c r="I11" s="38">
        <f t="shared" si="0"/>
        <v>0.68301345536507052</v>
      </c>
      <c r="J11" s="44">
        <f t="shared" si="1"/>
        <v>95621.883751109868</v>
      </c>
      <c r="L11" s="76">
        <v>4</v>
      </c>
      <c r="M11" s="4">
        <v>1150000</v>
      </c>
      <c r="N11" s="5">
        <v>-1010000</v>
      </c>
      <c r="O11" s="4">
        <v>140000</v>
      </c>
      <c r="P11" s="43">
        <v>-1350000</v>
      </c>
    </row>
    <row r="12" spans="5:16" x14ac:dyDescent="0.2">
      <c r="E12" s="42">
        <v>5</v>
      </c>
      <c r="F12" s="37">
        <v>2100000</v>
      </c>
      <c r="G12" s="5">
        <v>-1320000</v>
      </c>
      <c r="H12" s="71">
        <f t="shared" si="2"/>
        <v>780000</v>
      </c>
      <c r="I12" s="38">
        <f t="shared" si="0"/>
        <v>0.62092132305915493</v>
      </c>
      <c r="J12" s="44">
        <f t="shared" si="1"/>
        <v>484318.63198614086</v>
      </c>
      <c r="L12" s="76">
        <v>5</v>
      </c>
      <c r="M12" s="4">
        <v>2100000</v>
      </c>
      <c r="N12" s="5">
        <v>-1320000</v>
      </c>
      <c r="O12" s="4">
        <v>780000</v>
      </c>
      <c r="P12" s="43">
        <v>-570000</v>
      </c>
    </row>
    <row r="13" spans="5:16" x14ac:dyDescent="0.2">
      <c r="E13" s="42">
        <v>6</v>
      </c>
      <c r="F13" s="37">
        <v>3200000</v>
      </c>
      <c r="G13" s="5">
        <v>-1700000</v>
      </c>
      <c r="H13" s="71">
        <f t="shared" si="2"/>
        <v>1500000</v>
      </c>
      <c r="I13" s="38">
        <f t="shared" si="0"/>
        <v>0.56447393005377722</v>
      </c>
      <c r="J13" s="44">
        <f t="shared" si="1"/>
        <v>846710.89508066582</v>
      </c>
      <c r="L13" s="76">
        <v>6</v>
      </c>
      <c r="M13" s="4">
        <v>3200000</v>
      </c>
      <c r="N13" s="5">
        <v>-1700000</v>
      </c>
      <c r="O13" s="4">
        <v>1500000</v>
      </c>
      <c r="P13" s="44">
        <v>930000</v>
      </c>
    </row>
    <row r="14" spans="5:16" x14ac:dyDescent="0.2">
      <c r="E14" s="42">
        <v>7</v>
      </c>
      <c r="F14" s="37">
        <v>4300000</v>
      </c>
      <c r="G14" s="5">
        <v>-2150000</v>
      </c>
      <c r="H14" s="71">
        <f t="shared" si="2"/>
        <v>2150000</v>
      </c>
      <c r="I14" s="38">
        <f t="shared" si="0"/>
        <v>0.51315811823070645</v>
      </c>
      <c r="J14" s="44">
        <f t="shared" si="1"/>
        <v>1103289.9541960189</v>
      </c>
      <c r="L14" s="76">
        <v>7</v>
      </c>
      <c r="M14" s="4">
        <v>4300000</v>
      </c>
      <c r="N14" s="5">
        <v>-2150000</v>
      </c>
      <c r="O14" s="4">
        <v>2150000</v>
      </c>
      <c r="P14" s="44">
        <v>3080000</v>
      </c>
    </row>
    <row r="15" spans="5:16" ht="17" thickBot="1" x14ac:dyDescent="0.25">
      <c r="E15" s="45">
        <v>8</v>
      </c>
      <c r="F15" s="46">
        <v>5200000</v>
      </c>
      <c r="G15" s="47">
        <v>-2500000</v>
      </c>
      <c r="H15" s="72">
        <f t="shared" si="2"/>
        <v>2700000</v>
      </c>
      <c r="I15" s="48">
        <f t="shared" si="0"/>
        <v>0.46650738020973315</v>
      </c>
      <c r="J15" s="49">
        <f t="shared" si="1"/>
        <v>1259569.9265662795</v>
      </c>
      <c r="L15" s="77">
        <v>8</v>
      </c>
      <c r="M15" s="78">
        <v>5200000</v>
      </c>
      <c r="N15" s="47">
        <v>-2500000</v>
      </c>
      <c r="O15" s="78">
        <v>2700000</v>
      </c>
      <c r="P15" s="79">
        <v>5780000</v>
      </c>
    </row>
    <row r="16" spans="5:16" ht="17" thickBot="1" x14ac:dyDescent="0.25"/>
    <row r="17" spans="6:10" ht="17" thickBot="1" x14ac:dyDescent="0.25">
      <c r="F17" s="16" t="s">
        <v>6</v>
      </c>
      <c r="G17" s="21">
        <v>0.1</v>
      </c>
      <c r="I17" s="16" t="s">
        <v>10</v>
      </c>
      <c r="J17" s="70">
        <f>SUM(J8:J15)</f>
        <v>2557204.7551414473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F370-EE68-4248-BAD7-79477FCCAD8B}">
  <dimension ref="D9:I34"/>
  <sheetViews>
    <sheetView topLeftCell="A6" zoomScale="133" workbookViewId="0">
      <selection activeCell="H27" sqref="H27"/>
    </sheetView>
  </sheetViews>
  <sheetFormatPr baseColWidth="10" defaultRowHeight="16" x14ac:dyDescent="0.2"/>
  <cols>
    <col min="4" max="4" width="7.83203125" bestFit="1" customWidth="1"/>
    <col min="5" max="5" width="21" bestFit="1" customWidth="1"/>
    <col min="6" max="6" width="14.6640625" bestFit="1" customWidth="1"/>
    <col min="7" max="7" width="21.33203125" bestFit="1" customWidth="1"/>
    <col min="8" max="8" width="21.83203125" bestFit="1" customWidth="1"/>
    <col min="9" max="9" width="28.6640625" bestFit="1" customWidth="1"/>
  </cols>
  <sheetData>
    <row r="9" spans="4:9" ht="23" x14ac:dyDescent="0.25">
      <c r="D9" s="35" t="s">
        <v>0</v>
      </c>
      <c r="E9" s="35" t="s">
        <v>1</v>
      </c>
      <c r="F9" s="35" t="s">
        <v>2</v>
      </c>
      <c r="G9" s="35" t="s">
        <v>8</v>
      </c>
      <c r="H9" s="35" t="s">
        <v>7</v>
      </c>
      <c r="I9" s="35" t="s">
        <v>9</v>
      </c>
    </row>
    <row r="10" spans="4:9" x14ac:dyDescent="0.2">
      <c r="D10" s="36">
        <v>1</v>
      </c>
      <c r="E10" s="37" t="s">
        <v>5</v>
      </c>
      <c r="F10" s="5">
        <v>-420000</v>
      </c>
      <c r="G10" s="5">
        <v>-420000</v>
      </c>
      <c r="H10" s="38">
        <f>1/(1+$F$19)^D10</f>
        <v>0.90909090909090906</v>
      </c>
      <c r="I10" s="5">
        <f t="shared" ref="I10:I17" si="0">H10*G10</f>
        <v>-381818.18181818182</v>
      </c>
    </row>
    <row r="11" spans="4:9" x14ac:dyDescent="0.2">
      <c r="D11" s="36">
        <v>2</v>
      </c>
      <c r="E11" s="37">
        <v>60000</v>
      </c>
      <c r="F11" s="5">
        <v>-680000</v>
      </c>
      <c r="G11" s="5">
        <v>-620000</v>
      </c>
      <c r="H11" s="38">
        <f t="shared" ref="H11:H17" si="1">1/(1+$F$19)^D11</f>
        <v>0.82644628099173545</v>
      </c>
      <c r="I11" s="5">
        <f t="shared" si="0"/>
        <v>-512396.69421487598</v>
      </c>
    </row>
    <row r="12" spans="4:9" x14ac:dyDescent="0.2">
      <c r="D12" s="36">
        <v>3</v>
      </c>
      <c r="E12" s="37">
        <v>400000</v>
      </c>
      <c r="F12" s="5">
        <v>-850000</v>
      </c>
      <c r="G12" s="5">
        <v>-450000</v>
      </c>
      <c r="H12" s="38">
        <f t="shared" si="1"/>
        <v>0.75131480090157754</v>
      </c>
      <c r="I12" s="5">
        <f t="shared" si="0"/>
        <v>-338091.66040570987</v>
      </c>
    </row>
    <row r="13" spans="4:9" x14ac:dyDescent="0.2">
      <c r="D13" s="36">
        <v>4</v>
      </c>
      <c r="E13" s="37">
        <v>1150000</v>
      </c>
      <c r="F13" s="5">
        <v>-1010000</v>
      </c>
      <c r="G13" s="37">
        <v>140000</v>
      </c>
      <c r="H13" s="38">
        <f t="shared" si="1"/>
        <v>0.68301345536507052</v>
      </c>
      <c r="I13" s="4">
        <f t="shared" si="0"/>
        <v>95621.883751109868</v>
      </c>
    </row>
    <row r="14" spans="4:9" x14ac:dyDescent="0.2">
      <c r="D14" s="36">
        <v>5</v>
      </c>
      <c r="E14" s="37">
        <v>2100000</v>
      </c>
      <c r="F14" s="5">
        <v>-1320000</v>
      </c>
      <c r="G14" s="37">
        <v>780000</v>
      </c>
      <c r="H14" s="38">
        <f t="shared" si="1"/>
        <v>0.62092132305915493</v>
      </c>
      <c r="I14" s="4">
        <f t="shared" si="0"/>
        <v>484318.63198614086</v>
      </c>
    </row>
    <row r="15" spans="4:9" x14ac:dyDescent="0.2">
      <c r="D15" s="36">
        <v>6</v>
      </c>
      <c r="E15" s="37">
        <v>3200000</v>
      </c>
      <c r="F15" s="5">
        <v>-1700000</v>
      </c>
      <c r="G15" s="37">
        <v>1500000</v>
      </c>
      <c r="H15" s="38">
        <f t="shared" si="1"/>
        <v>0.56447393005377722</v>
      </c>
      <c r="I15" s="4">
        <f t="shared" si="0"/>
        <v>846710.89508066582</v>
      </c>
    </row>
    <row r="16" spans="4:9" x14ac:dyDescent="0.2">
      <c r="D16" s="36">
        <v>7</v>
      </c>
      <c r="E16" s="37">
        <v>4300000</v>
      </c>
      <c r="F16" s="5">
        <v>-2150000</v>
      </c>
      <c r="G16" s="37">
        <v>2150000</v>
      </c>
      <c r="H16" s="38">
        <f t="shared" si="1"/>
        <v>0.51315811823070645</v>
      </c>
      <c r="I16" s="4">
        <f t="shared" si="0"/>
        <v>1103289.9541960189</v>
      </c>
    </row>
    <row r="17" spans="4:9" x14ac:dyDescent="0.2">
      <c r="D17" s="36">
        <v>8</v>
      </c>
      <c r="E17" s="37">
        <v>5200000</v>
      </c>
      <c r="F17" s="5">
        <v>-2500000</v>
      </c>
      <c r="G17" s="37">
        <v>2700000</v>
      </c>
      <c r="H17" s="38">
        <f t="shared" si="1"/>
        <v>0.46650738020973315</v>
      </c>
      <c r="I17" s="4">
        <f t="shared" si="0"/>
        <v>1259569.9265662795</v>
      </c>
    </row>
    <row r="18" spans="4:9" ht="17" thickBot="1" x14ac:dyDescent="0.25"/>
    <row r="19" spans="4:9" ht="17" thickBot="1" x14ac:dyDescent="0.25">
      <c r="E19" s="16" t="s">
        <v>6</v>
      </c>
      <c r="F19" s="21">
        <v>0.1</v>
      </c>
      <c r="H19" s="16" t="s">
        <v>10</v>
      </c>
      <c r="I19" s="22">
        <f>SUM(I10:I17)</f>
        <v>2557204.7551414473</v>
      </c>
    </row>
    <row r="28" spans="4:9" ht="17" thickBot="1" x14ac:dyDescent="0.25"/>
    <row r="29" spans="4:9" ht="17" thickBot="1" x14ac:dyDescent="0.25">
      <c r="E29" s="19" t="s">
        <v>6</v>
      </c>
      <c r="F29" s="20" t="s">
        <v>10</v>
      </c>
    </row>
    <row r="30" spans="4:9" x14ac:dyDescent="0.2">
      <c r="E30" s="17">
        <v>0.1</v>
      </c>
      <c r="F30" s="14"/>
    </row>
    <row r="31" spans="4:9" x14ac:dyDescent="0.2">
      <c r="E31" s="17">
        <v>0.2</v>
      </c>
      <c r="F31" s="14"/>
    </row>
    <row r="32" spans="4:9" x14ac:dyDescent="0.2">
      <c r="E32" s="17">
        <v>0.3</v>
      </c>
      <c r="F32" s="14"/>
    </row>
    <row r="33" spans="5:6" x14ac:dyDescent="0.2">
      <c r="E33" s="17">
        <v>0.4</v>
      </c>
      <c r="F33" s="14"/>
    </row>
    <row r="34" spans="5:6" ht="17" thickBot="1" x14ac:dyDescent="0.25">
      <c r="E34" s="18">
        <v>0.5</v>
      </c>
      <c r="F34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E459-4EB4-C241-A5FA-FD18ADE453B7}">
  <dimension ref="H11:M22"/>
  <sheetViews>
    <sheetView topLeftCell="E4" zoomScale="134" workbookViewId="0">
      <selection activeCell="J13" sqref="J13:J20"/>
    </sheetView>
  </sheetViews>
  <sheetFormatPr baseColWidth="10" defaultRowHeight="16" x14ac:dyDescent="0.2"/>
  <cols>
    <col min="8" max="8" width="7.83203125" bestFit="1" customWidth="1"/>
    <col min="9" max="9" width="21" bestFit="1" customWidth="1"/>
    <col min="10" max="10" width="14.6640625" bestFit="1" customWidth="1"/>
    <col min="11" max="11" width="21.33203125" bestFit="1" customWidth="1"/>
    <col min="12" max="12" width="21.83203125" bestFit="1" customWidth="1"/>
    <col min="13" max="13" width="28.6640625" bestFit="1" customWidth="1"/>
  </cols>
  <sheetData>
    <row r="11" spans="8:13" ht="17" thickBot="1" x14ac:dyDescent="0.25"/>
    <row r="12" spans="8:13" ht="23" x14ac:dyDescent="0.25">
      <c r="H12" s="39" t="s">
        <v>0</v>
      </c>
      <c r="I12" s="40" t="s">
        <v>1</v>
      </c>
      <c r="J12" s="40" t="s">
        <v>2</v>
      </c>
      <c r="K12" s="40" t="s">
        <v>8</v>
      </c>
      <c r="L12" s="40" t="s">
        <v>7</v>
      </c>
      <c r="M12" s="41" t="s">
        <v>9</v>
      </c>
    </row>
    <row r="13" spans="8:13" x14ac:dyDescent="0.2">
      <c r="H13" s="42">
        <v>1</v>
      </c>
      <c r="I13" s="37" t="s">
        <v>5</v>
      </c>
      <c r="J13" s="5">
        <v>-420000</v>
      </c>
      <c r="K13" s="5">
        <v>-420000</v>
      </c>
      <c r="L13" s="38">
        <f>1/(1+$J$22)^H13</f>
        <v>0.71682372714374176</v>
      </c>
      <c r="M13" s="43">
        <f t="shared" ref="M13:M20" si="0">L13*K13</f>
        <v>-301065.96540037153</v>
      </c>
    </row>
    <row r="14" spans="8:13" x14ac:dyDescent="0.2">
      <c r="H14" s="42">
        <v>2</v>
      </c>
      <c r="I14" s="37">
        <v>60000</v>
      </c>
      <c r="J14" s="5">
        <v>-680000</v>
      </c>
      <c r="K14" s="5">
        <v>-620000</v>
      </c>
      <c r="L14" s="38">
        <f t="shared" ref="L14:L20" si="1">1/(1+$J$22)^H14</f>
        <v>0.51383625579624559</v>
      </c>
      <c r="M14" s="43">
        <f t="shared" si="0"/>
        <v>-318578.47859367228</v>
      </c>
    </row>
    <row r="15" spans="8:13" x14ac:dyDescent="0.2">
      <c r="H15" s="42">
        <v>3</v>
      </c>
      <c r="I15" s="37">
        <v>400000</v>
      </c>
      <c r="J15" s="5">
        <v>-850000</v>
      </c>
      <c r="K15" s="5">
        <v>-450000</v>
      </c>
      <c r="L15" s="38">
        <f t="shared" si="1"/>
        <v>0.36833002002144982</v>
      </c>
      <c r="M15" s="43">
        <f t="shared" si="0"/>
        <v>-165748.50900965242</v>
      </c>
    </row>
    <row r="16" spans="8:13" x14ac:dyDescent="0.2">
      <c r="H16" s="42">
        <v>4</v>
      </c>
      <c r="I16" s="37">
        <v>1150000</v>
      </c>
      <c r="J16" s="5">
        <v>-1010000</v>
      </c>
      <c r="K16" s="37">
        <v>140000</v>
      </c>
      <c r="L16" s="38">
        <f t="shared" si="1"/>
        <v>0.26402769777070473</v>
      </c>
      <c r="M16" s="44">
        <f t="shared" si="0"/>
        <v>36963.877687898661</v>
      </c>
    </row>
    <row r="17" spans="8:13" x14ac:dyDescent="0.2">
      <c r="H17" s="42">
        <v>5</v>
      </c>
      <c r="I17" s="37">
        <v>2100000</v>
      </c>
      <c r="J17" s="5">
        <v>-1320000</v>
      </c>
      <c r="K17" s="37">
        <v>780000</v>
      </c>
      <c r="L17" s="38">
        <f t="shared" si="1"/>
        <v>0.18926131838517796</v>
      </c>
      <c r="M17" s="44">
        <f t="shared" si="0"/>
        <v>147623.82834043881</v>
      </c>
    </row>
    <row r="18" spans="8:13" x14ac:dyDescent="0.2">
      <c r="H18" s="42">
        <v>6</v>
      </c>
      <c r="I18" s="37">
        <v>3200000</v>
      </c>
      <c r="J18" s="5">
        <v>-1700000</v>
      </c>
      <c r="K18" s="37">
        <v>1500000</v>
      </c>
      <c r="L18" s="38">
        <f t="shared" si="1"/>
        <v>0.13566700364900164</v>
      </c>
      <c r="M18" s="44">
        <f t="shared" si="0"/>
        <v>203500.50547350245</v>
      </c>
    </row>
    <row r="19" spans="8:13" x14ac:dyDescent="0.2">
      <c r="H19" s="42">
        <v>7</v>
      </c>
      <c r="I19" s="37">
        <v>4300000</v>
      </c>
      <c r="J19" s="5">
        <v>-2150000</v>
      </c>
      <c r="K19" s="37">
        <v>2150000</v>
      </c>
      <c r="L19" s="38">
        <f t="shared" si="1"/>
        <v>9.724932720610098E-2</v>
      </c>
      <c r="M19" s="44">
        <f t="shared" si="0"/>
        <v>209086.0534931171</v>
      </c>
    </row>
    <row r="20" spans="8:13" ht="17" thickBot="1" x14ac:dyDescent="0.25">
      <c r="H20" s="45">
        <v>8</v>
      </c>
      <c r="I20" s="46">
        <v>5200000</v>
      </c>
      <c r="J20" s="47">
        <v>-2500000</v>
      </c>
      <c r="K20" s="46">
        <v>2700000</v>
      </c>
      <c r="L20" s="48">
        <f t="shared" si="1"/>
        <v>6.9710625190098588E-2</v>
      </c>
      <c r="M20" s="49">
        <f t="shared" si="0"/>
        <v>188218.68801326619</v>
      </c>
    </row>
    <row r="21" spans="8:13" ht="17" thickBot="1" x14ac:dyDescent="0.25"/>
    <row r="22" spans="8:13" ht="17" thickBot="1" x14ac:dyDescent="0.25">
      <c r="I22" s="16" t="s">
        <v>6</v>
      </c>
      <c r="J22" s="21">
        <v>0.39504310771715573</v>
      </c>
      <c r="L22" s="16" t="s">
        <v>10</v>
      </c>
      <c r="M22" s="22">
        <f>SUM(M13:M20)</f>
        <v>4.5269262045621872E-6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96BA-1E48-A047-BE45-A6D6015C9156}">
  <dimension ref="D10:R64"/>
  <sheetViews>
    <sheetView topLeftCell="A7" zoomScale="88" workbookViewId="0">
      <selection activeCell="D23" sqref="D23"/>
    </sheetView>
  </sheetViews>
  <sheetFormatPr baseColWidth="10" defaultRowHeight="16" x14ac:dyDescent="0.2"/>
  <cols>
    <col min="7" max="7" width="14" bestFit="1" customWidth="1"/>
    <col min="8" max="8" width="21" bestFit="1" customWidth="1"/>
    <col min="9" max="9" width="14.6640625" bestFit="1" customWidth="1"/>
    <col min="10" max="10" width="21.33203125" bestFit="1" customWidth="1"/>
    <col min="11" max="11" width="21.83203125" bestFit="1" customWidth="1"/>
    <col min="12" max="12" width="28.6640625" bestFit="1" customWidth="1"/>
    <col min="16" max="16" width="14" bestFit="1" customWidth="1"/>
    <col min="17" max="17" width="13.33203125" customWidth="1"/>
  </cols>
  <sheetData>
    <row r="10" spans="7:17" ht="17" thickBot="1" x14ac:dyDescent="0.25"/>
    <row r="11" spans="7:17" ht="25" thickBot="1" x14ac:dyDescent="0.35">
      <c r="G11" s="52" t="s">
        <v>14</v>
      </c>
      <c r="H11" s="53"/>
    </row>
    <row r="12" spans="7:17" ht="23" x14ac:dyDescent="0.25">
      <c r="G12" s="50" t="s">
        <v>0</v>
      </c>
      <c r="H12" s="51" t="s">
        <v>1</v>
      </c>
      <c r="I12" s="24" t="s">
        <v>2</v>
      </c>
      <c r="J12" s="24" t="s">
        <v>8</v>
      </c>
      <c r="K12" s="24" t="s">
        <v>7</v>
      </c>
      <c r="L12" s="25" t="s">
        <v>9</v>
      </c>
    </row>
    <row r="13" spans="7:17" x14ac:dyDescent="0.2">
      <c r="G13" s="26">
        <v>1</v>
      </c>
      <c r="H13" s="27" t="s">
        <v>5</v>
      </c>
      <c r="I13" s="5">
        <v>-420000</v>
      </c>
      <c r="J13" s="28">
        <v>-420000</v>
      </c>
      <c r="K13" s="29">
        <f>1/(1+$I$22)^G13</f>
        <v>0.90909090909090906</v>
      </c>
      <c r="L13" s="30">
        <f t="shared" ref="L13:L20" si="0">K13*J13</f>
        <v>-381818.18181818182</v>
      </c>
    </row>
    <row r="14" spans="7:17" x14ac:dyDescent="0.2">
      <c r="G14" s="26">
        <v>2</v>
      </c>
      <c r="H14" s="27">
        <v>60000</v>
      </c>
      <c r="I14" s="5">
        <v>-680000</v>
      </c>
      <c r="J14" s="28">
        <v>-620000</v>
      </c>
      <c r="K14" s="29">
        <f t="shared" ref="K14:K20" si="1">1/(1+$I$22)^G14</f>
        <v>0.82644628099173545</v>
      </c>
      <c r="L14" s="30">
        <f t="shared" si="0"/>
        <v>-512396.69421487598</v>
      </c>
      <c r="P14" s="11"/>
      <c r="Q14" s="12"/>
    </row>
    <row r="15" spans="7:17" x14ac:dyDescent="0.2">
      <c r="G15" s="26">
        <v>3</v>
      </c>
      <c r="H15" s="27">
        <v>400000</v>
      </c>
      <c r="I15" s="5">
        <v>-850000</v>
      </c>
      <c r="J15" s="28">
        <v>-450000</v>
      </c>
      <c r="K15" s="29">
        <f t="shared" si="1"/>
        <v>0.75131480090157754</v>
      </c>
      <c r="L15" s="30">
        <f t="shared" si="0"/>
        <v>-338091.66040570987</v>
      </c>
      <c r="P15" s="11"/>
      <c r="Q15" s="12"/>
    </row>
    <row r="16" spans="7:17" x14ac:dyDescent="0.2">
      <c r="G16" s="26">
        <v>4</v>
      </c>
      <c r="H16" s="27">
        <v>1150000</v>
      </c>
      <c r="I16" s="5">
        <v>-1010000</v>
      </c>
      <c r="J16" s="27">
        <v>140000</v>
      </c>
      <c r="K16" s="29">
        <f t="shared" si="1"/>
        <v>0.68301345536507052</v>
      </c>
      <c r="L16" s="14">
        <f t="shared" si="0"/>
        <v>95621.883751109868</v>
      </c>
      <c r="P16" s="11"/>
      <c r="Q16" s="12"/>
    </row>
    <row r="17" spans="4:18" x14ac:dyDescent="0.2">
      <c r="G17" s="26">
        <v>5</v>
      </c>
      <c r="H17" s="27">
        <v>2100000</v>
      </c>
      <c r="I17" s="5">
        <v>-1320000</v>
      </c>
      <c r="J17" s="27">
        <v>780000</v>
      </c>
      <c r="K17" s="29">
        <f t="shared" si="1"/>
        <v>0.62092132305915493</v>
      </c>
      <c r="L17" s="14">
        <f t="shared" si="0"/>
        <v>484318.63198614086</v>
      </c>
      <c r="Q17" s="11"/>
      <c r="R17" s="11"/>
    </row>
    <row r="18" spans="4:18" x14ac:dyDescent="0.2">
      <c r="G18" s="26">
        <v>6</v>
      </c>
      <c r="H18" s="27">
        <v>3200000</v>
      </c>
      <c r="I18" s="5">
        <v>-1700000</v>
      </c>
      <c r="J18" s="27">
        <v>1500000</v>
      </c>
      <c r="K18" s="29">
        <f t="shared" si="1"/>
        <v>0.56447393005377722</v>
      </c>
      <c r="L18" s="14">
        <f t="shared" si="0"/>
        <v>846710.89508066582</v>
      </c>
      <c r="Q18" s="12"/>
      <c r="R18" s="12"/>
    </row>
    <row r="19" spans="4:18" x14ac:dyDescent="0.2">
      <c r="G19" s="26">
        <v>7</v>
      </c>
      <c r="H19" s="27">
        <v>4300000</v>
      </c>
      <c r="I19" s="5">
        <v>-2150000</v>
      </c>
      <c r="J19" s="27">
        <v>2150000</v>
      </c>
      <c r="K19" s="29">
        <f t="shared" si="1"/>
        <v>0.51315811823070645</v>
      </c>
      <c r="L19" s="14">
        <f t="shared" si="0"/>
        <v>1103289.9541960189</v>
      </c>
    </row>
    <row r="20" spans="4:18" ht="17" thickBot="1" x14ac:dyDescent="0.25">
      <c r="G20" s="31">
        <v>8</v>
      </c>
      <c r="H20" s="32">
        <v>5200000</v>
      </c>
      <c r="I20" s="47">
        <v>-2500000</v>
      </c>
      <c r="J20" s="32">
        <v>2700000</v>
      </c>
      <c r="K20" s="34">
        <f t="shared" si="1"/>
        <v>0.46650738020973315</v>
      </c>
      <c r="L20" s="15">
        <f t="shared" si="0"/>
        <v>1259569.9265662795</v>
      </c>
    </row>
    <row r="21" spans="4:18" ht="17" thickBot="1" x14ac:dyDescent="0.25"/>
    <row r="22" spans="4:18" ht="17" thickBot="1" x14ac:dyDescent="0.25">
      <c r="H22" s="16" t="s">
        <v>6</v>
      </c>
      <c r="I22" s="21">
        <v>0.1</v>
      </c>
      <c r="K22" s="16" t="s">
        <v>10</v>
      </c>
      <c r="L22" s="22">
        <f>SUM(L13:L20)</f>
        <v>2557204.7551414473</v>
      </c>
    </row>
    <row r="23" spans="4:18" x14ac:dyDescent="0.2">
      <c r="D23" t="s">
        <v>18</v>
      </c>
    </row>
    <row r="24" spans="4:18" ht="17" thickBot="1" x14ac:dyDescent="0.25"/>
    <row r="25" spans="4:18" ht="25" thickBot="1" x14ac:dyDescent="0.35">
      <c r="G25" s="54" t="s">
        <v>15</v>
      </c>
      <c r="H25" s="55"/>
    </row>
    <row r="26" spans="4:18" ht="24" thickBot="1" x14ac:dyDescent="0.3">
      <c r="G26" s="23" t="s">
        <v>0</v>
      </c>
      <c r="H26" s="24" t="s">
        <v>1</v>
      </c>
      <c r="I26" s="24" t="s">
        <v>2</v>
      </c>
      <c r="J26" s="24" t="s">
        <v>8</v>
      </c>
      <c r="K26" s="24" t="s">
        <v>7</v>
      </c>
      <c r="L26" s="25" t="s">
        <v>9</v>
      </c>
    </row>
    <row r="27" spans="4:18" x14ac:dyDescent="0.2">
      <c r="G27" s="26">
        <v>1</v>
      </c>
      <c r="H27" s="27">
        <v>0</v>
      </c>
      <c r="I27" s="28">
        <f>(I13*1.05)</f>
        <v>-441000</v>
      </c>
      <c r="J27" s="28">
        <f>I27+H27</f>
        <v>-441000</v>
      </c>
      <c r="K27" s="29">
        <f t="shared" ref="K27:K34" si="2">1/(1+$I$50)^G27</f>
        <v>0.90909090909090906</v>
      </c>
      <c r="L27" s="30">
        <f t="shared" ref="L27:L34" si="3">K27*J27</f>
        <v>-400909.09090909088</v>
      </c>
      <c r="O27" s="58" t="s">
        <v>11</v>
      </c>
      <c r="P27" s="59"/>
      <c r="Q27" s="67">
        <v>0.05</v>
      </c>
      <c r="R27" s="60">
        <v>0.1</v>
      </c>
    </row>
    <row r="28" spans="4:18" ht="17" thickBot="1" x14ac:dyDescent="0.25">
      <c r="G28" s="26">
        <v>2</v>
      </c>
      <c r="H28" s="27">
        <v>60000</v>
      </c>
      <c r="I28" s="28">
        <f t="shared" ref="I28:I34" si="4">(I14*1.05)</f>
        <v>-714000</v>
      </c>
      <c r="J28" s="28">
        <f t="shared" ref="J28:J34" si="5">I28+H28</f>
        <v>-654000</v>
      </c>
      <c r="K28" s="29">
        <f t="shared" si="2"/>
        <v>0.82644628099173545</v>
      </c>
      <c r="L28" s="30">
        <f t="shared" si="3"/>
        <v>-540495.867768595</v>
      </c>
      <c r="O28" s="64"/>
      <c r="P28" s="65"/>
      <c r="Q28" s="69"/>
      <c r="R28" s="66"/>
    </row>
    <row r="29" spans="4:18" x14ac:dyDescent="0.2">
      <c r="G29" s="26">
        <v>3</v>
      </c>
      <c r="H29" s="27">
        <v>400000</v>
      </c>
      <c r="I29" s="28">
        <f t="shared" si="4"/>
        <v>-892500</v>
      </c>
      <c r="J29" s="28">
        <f t="shared" si="5"/>
        <v>-492500</v>
      </c>
      <c r="K29" s="29">
        <f t="shared" si="2"/>
        <v>0.75131480090157754</v>
      </c>
      <c r="L29" s="30">
        <f t="shared" si="3"/>
        <v>-370022.53944402694</v>
      </c>
      <c r="O29" s="61" t="s">
        <v>13</v>
      </c>
      <c r="P29" s="62"/>
      <c r="Q29" s="68"/>
      <c r="R29" s="63"/>
    </row>
    <row r="30" spans="4:18" ht="17" thickBot="1" x14ac:dyDescent="0.25">
      <c r="G30" s="26">
        <v>4</v>
      </c>
      <c r="H30" s="27">
        <v>1150000</v>
      </c>
      <c r="I30" s="28">
        <f t="shared" si="4"/>
        <v>-1060500</v>
      </c>
      <c r="J30" s="56">
        <f t="shared" si="5"/>
        <v>89500</v>
      </c>
      <c r="K30" s="29">
        <f t="shared" si="2"/>
        <v>0.68301345536507052</v>
      </c>
      <c r="L30" s="14">
        <f t="shared" si="3"/>
        <v>61129.704255173812</v>
      </c>
      <c r="O30" s="64"/>
      <c r="P30" s="65"/>
      <c r="Q30" s="69"/>
      <c r="R30" s="66"/>
    </row>
    <row r="31" spans="4:18" x14ac:dyDescent="0.2">
      <c r="G31" s="26">
        <v>5</v>
      </c>
      <c r="H31" s="27">
        <v>2100000</v>
      </c>
      <c r="I31" s="28">
        <f t="shared" si="4"/>
        <v>-1386000</v>
      </c>
      <c r="J31" s="56">
        <f t="shared" si="5"/>
        <v>714000</v>
      </c>
      <c r="K31" s="29">
        <f t="shared" si="2"/>
        <v>0.62092132305915493</v>
      </c>
      <c r="L31" s="14">
        <f t="shared" si="3"/>
        <v>443337.82466423663</v>
      </c>
    </row>
    <row r="32" spans="4:18" x14ac:dyDescent="0.2">
      <c r="G32" s="26">
        <v>6</v>
      </c>
      <c r="H32" s="27">
        <v>3200000</v>
      </c>
      <c r="I32" s="28">
        <f t="shared" si="4"/>
        <v>-1785000</v>
      </c>
      <c r="J32" s="56">
        <f t="shared" si="5"/>
        <v>1415000</v>
      </c>
      <c r="K32" s="29">
        <f t="shared" si="2"/>
        <v>0.56447393005377722</v>
      </c>
      <c r="L32" s="14">
        <f t="shared" si="3"/>
        <v>798730.61102609476</v>
      </c>
    </row>
    <row r="33" spans="7:12" x14ac:dyDescent="0.2">
      <c r="G33" s="26">
        <v>7</v>
      </c>
      <c r="H33" s="27">
        <v>4300000</v>
      </c>
      <c r="I33" s="28">
        <f t="shared" si="4"/>
        <v>-2257500</v>
      </c>
      <c r="J33" s="56">
        <f t="shared" si="5"/>
        <v>2042500</v>
      </c>
      <c r="K33" s="29">
        <f t="shared" si="2"/>
        <v>0.51315811823070645</v>
      </c>
      <c r="L33" s="14">
        <f t="shared" si="3"/>
        <v>1048125.4564862179</v>
      </c>
    </row>
    <row r="34" spans="7:12" ht="17" thickBot="1" x14ac:dyDescent="0.25">
      <c r="G34" s="31">
        <v>8</v>
      </c>
      <c r="H34" s="32">
        <v>5200000</v>
      </c>
      <c r="I34" s="33">
        <f t="shared" si="4"/>
        <v>-2625000</v>
      </c>
      <c r="J34" s="57">
        <f t="shared" si="5"/>
        <v>2575000</v>
      </c>
      <c r="K34" s="34">
        <f t="shared" si="2"/>
        <v>0.46650738020973315</v>
      </c>
      <c r="L34" s="15">
        <f t="shared" si="3"/>
        <v>1201256.5040400629</v>
      </c>
    </row>
    <row r="35" spans="7:12" ht="17" thickBot="1" x14ac:dyDescent="0.25"/>
    <row r="36" spans="7:12" ht="17" thickBot="1" x14ac:dyDescent="0.25">
      <c r="H36" s="16" t="s">
        <v>6</v>
      </c>
      <c r="I36" s="21">
        <v>0.1</v>
      </c>
      <c r="K36" s="16" t="s">
        <v>10</v>
      </c>
      <c r="L36" s="22">
        <f>SUM(L27:L34)</f>
        <v>2241152.6023500734</v>
      </c>
    </row>
    <row r="38" spans="7:12" ht="17" thickBot="1" x14ac:dyDescent="0.25"/>
    <row r="39" spans="7:12" ht="25" thickBot="1" x14ac:dyDescent="0.35">
      <c r="G39" s="54" t="s">
        <v>16</v>
      </c>
      <c r="H39" s="55"/>
    </row>
    <row r="40" spans="7:12" ht="23" x14ac:dyDescent="0.25">
      <c r="G40" s="23" t="s">
        <v>0</v>
      </c>
      <c r="H40" s="24" t="s">
        <v>1</v>
      </c>
      <c r="I40" s="24" t="s">
        <v>2</v>
      </c>
      <c r="J40" s="24" t="s">
        <v>8</v>
      </c>
      <c r="K40" s="24" t="s">
        <v>7</v>
      </c>
      <c r="L40" s="25" t="s">
        <v>9</v>
      </c>
    </row>
    <row r="41" spans="7:12" x14ac:dyDescent="0.2">
      <c r="G41" s="26">
        <v>1</v>
      </c>
      <c r="H41" s="27">
        <v>0</v>
      </c>
      <c r="I41" s="28">
        <f>(I13*1.1)</f>
        <v>-462000.00000000006</v>
      </c>
      <c r="J41" s="28">
        <f>I41+H41</f>
        <v>-462000.00000000006</v>
      </c>
      <c r="K41" s="29">
        <f t="shared" ref="K41:K48" si="6">1/(1+$I$50)^G41</f>
        <v>0.90909090909090906</v>
      </c>
      <c r="L41" s="30">
        <f t="shared" ref="L41:L48" si="7">K41*J41</f>
        <v>-420000.00000000006</v>
      </c>
    </row>
    <row r="42" spans="7:12" x14ac:dyDescent="0.2">
      <c r="G42" s="26">
        <v>2</v>
      </c>
      <c r="H42" s="27">
        <v>60000</v>
      </c>
      <c r="I42" s="28">
        <f t="shared" ref="I42:I48" si="8">(I14*1.1)</f>
        <v>-748000.00000000012</v>
      </c>
      <c r="J42" s="28">
        <f t="shared" ref="J42:J48" si="9">I42+H42</f>
        <v>-688000.00000000012</v>
      </c>
      <c r="K42" s="29">
        <f t="shared" si="6"/>
        <v>0.82644628099173545</v>
      </c>
      <c r="L42" s="30">
        <f t="shared" si="7"/>
        <v>-568595.04132231406</v>
      </c>
    </row>
    <row r="43" spans="7:12" x14ac:dyDescent="0.2">
      <c r="G43" s="26">
        <v>3</v>
      </c>
      <c r="H43" s="27">
        <v>400000</v>
      </c>
      <c r="I43" s="28">
        <f t="shared" si="8"/>
        <v>-935000.00000000012</v>
      </c>
      <c r="J43" s="28">
        <f t="shared" si="9"/>
        <v>-535000.00000000012</v>
      </c>
      <c r="K43" s="29">
        <f t="shared" si="6"/>
        <v>0.75131480090157754</v>
      </c>
      <c r="L43" s="30">
        <f t="shared" si="7"/>
        <v>-401953.41848234407</v>
      </c>
    </row>
    <row r="44" spans="7:12" x14ac:dyDescent="0.2">
      <c r="G44" s="26">
        <v>4</v>
      </c>
      <c r="H44" s="27">
        <v>1150000</v>
      </c>
      <c r="I44" s="28">
        <f t="shared" si="8"/>
        <v>-1111000</v>
      </c>
      <c r="J44" s="56">
        <f t="shared" si="9"/>
        <v>39000</v>
      </c>
      <c r="K44" s="29">
        <f t="shared" si="6"/>
        <v>0.68301345536507052</v>
      </c>
      <c r="L44" s="14">
        <f t="shared" si="7"/>
        <v>26637.524759237749</v>
      </c>
    </row>
    <row r="45" spans="7:12" x14ac:dyDescent="0.2">
      <c r="G45" s="26">
        <v>5</v>
      </c>
      <c r="H45" s="27">
        <v>2100000</v>
      </c>
      <c r="I45" s="28">
        <f t="shared" si="8"/>
        <v>-1452000.0000000002</v>
      </c>
      <c r="J45" s="56">
        <f t="shared" si="9"/>
        <v>647999.99999999977</v>
      </c>
      <c r="K45" s="29">
        <f t="shared" si="6"/>
        <v>0.62092132305915493</v>
      </c>
      <c r="L45" s="14">
        <f t="shared" si="7"/>
        <v>402357.01734233223</v>
      </c>
    </row>
    <row r="46" spans="7:12" x14ac:dyDescent="0.2">
      <c r="G46" s="26">
        <v>6</v>
      </c>
      <c r="H46" s="27">
        <v>3200000</v>
      </c>
      <c r="I46" s="28">
        <f t="shared" si="8"/>
        <v>-1870000.0000000002</v>
      </c>
      <c r="J46" s="56">
        <f t="shared" si="9"/>
        <v>1329999.9999999998</v>
      </c>
      <c r="K46" s="29">
        <f t="shared" si="6"/>
        <v>0.56447393005377722</v>
      </c>
      <c r="L46" s="14">
        <f t="shared" si="7"/>
        <v>750750.32697152358</v>
      </c>
    </row>
    <row r="47" spans="7:12" x14ac:dyDescent="0.2">
      <c r="G47" s="26">
        <v>7</v>
      </c>
      <c r="H47" s="27">
        <v>4300000</v>
      </c>
      <c r="I47" s="28">
        <f t="shared" si="8"/>
        <v>-2365000</v>
      </c>
      <c r="J47" s="56">
        <f t="shared" si="9"/>
        <v>1935000</v>
      </c>
      <c r="K47" s="29">
        <f t="shared" si="6"/>
        <v>0.51315811823070645</v>
      </c>
      <c r="L47" s="14">
        <f t="shared" si="7"/>
        <v>992960.95877641696</v>
      </c>
    </row>
    <row r="48" spans="7:12" ht="17" thickBot="1" x14ac:dyDescent="0.25">
      <c r="G48" s="31">
        <v>8</v>
      </c>
      <c r="H48" s="32">
        <v>5200000</v>
      </c>
      <c r="I48" s="33">
        <f t="shared" si="8"/>
        <v>-2750000</v>
      </c>
      <c r="J48" s="57">
        <f t="shared" si="9"/>
        <v>2450000</v>
      </c>
      <c r="K48" s="34">
        <f t="shared" si="6"/>
        <v>0.46650738020973315</v>
      </c>
      <c r="L48" s="15">
        <f t="shared" si="7"/>
        <v>1142943.0815138463</v>
      </c>
    </row>
    <row r="49" spans="7:12" ht="17" thickBot="1" x14ac:dyDescent="0.25"/>
    <row r="50" spans="7:12" ht="17" thickBot="1" x14ac:dyDescent="0.25">
      <c r="H50" s="16" t="s">
        <v>6</v>
      </c>
      <c r="I50" s="21">
        <v>0.1</v>
      </c>
      <c r="K50" s="16" t="s">
        <v>10</v>
      </c>
      <c r="L50" s="22">
        <f>SUM(L41:L48)</f>
        <v>1925100.4495586986</v>
      </c>
    </row>
    <row r="54" spans="7:12" ht="23" x14ac:dyDescent="0.25">
      <c r="G54" s="10"/>
      <c r="H54" s="10"/>
      <c r="I54" s="10"/>
      <c r="J54" s="10"/>
      <c r="K54" s="10"/>
      <c r="L54" s="10"/>
    </row>
    <row r="55" spans="7:12" x14ac:dyDescent="0.2">
      <c r="G55" s="6"/>
      <c r="H55" s="7"/>
      <c r="I55" s="2"/>
      <c r="J55" s="2"/>
      <c r="K55" s="9"/>
      <c r="L55" s="2"/>
    </row>
    <row r="56" spans="7:12" x14ac:dyDescent="0.2">
      <c r="G56" s="6"/>
      <c r="H56" s="7"/>
      <c r="I56" s="2"/>
      <c r="J56" s="2"/>
      <c r="K56" s="9"/>
      <c r="L56" s="2"/>
    </row>
    <row r="57" spans="7:12" x14ac:dyDescent="0.2">
      <c r="G57" s="6"/>
      <c r="H57" s="7"/>
      <c r="I57" s="2"/>
      <c r="J57" s="2"/>
      <c r="K57" s="9"/>
      <c r="L57" s="2"/>
    </row>
    <row r="58" spans="7:12" x14ac:dyDescent="0.2">
      <c r="G58" s="6"/>
      <c r="H58" s="7"/>
      <c r="I58" s="2"/>
      <c r="J58" s="2"/>
      <c r="K58" s="9"/>
      <c r="L58" s="2"/>
    </row>
    <row r="59" spans="7:12" x14ac:dyDescent="0.2">
      <c r="G59" s="6"/>
      <c r="H59" s="7"/>
      <c r="I59" s="2"/>
      <c r="J59" s="1"/>
      <c r="K59" s="9"/>
      <c r="L59" s="1"/>
    </row>
    <row r="60" spans="7:12" x14ac:dyDescent="0.2">
      <c r="G60" s="6"/>
      <c r="H60" s="7"/>
      <c r="I60" s="2"/>
      <c r="J60" s="1"/>
      <c r="K60" s="9"/>
      <c r="L60" s="1"/>
    </row>
    <row r="61" spans="7:12" x14ac:dyDescent="0.2">
      <c r="G61" s="6"/>
      <c r="H61" s="7"/>
      <c r="I61" s="2"/>
      <c r="J61" s="1"/>
      <c r="K61" s="9"/>
      <c r="L61" s="1"/>
    </row>
    <row r="62" spans="7:12" x14ac:dyDescent="0.2">
      <c r="G62" s="6"/>
      <c r="H62" s="7"/>
      <c r="I62" s="2"/>
      <c r="J62" s="1"/>
      <c r="K62" s="9"/>
      <c r="L62" s="1"/>
    </row>
    <row r="64" spans="7:12" x14ac:dyDescent="0.2">
      <c r="I64" s="8"/>
      <c r="L64" s="1"/>
    </row>
  </sheetData>
  <mergeCells count="9">
    <mergeCell ref="R27:R28"/>
    <mergeCell ref="Q29:Q30"/>
    <mergeCell ref="R29:R30"/>
    <mergeCell ref="G11:H11"/>
    <mergeCell ref="G25:H25"/>
    <mergeCell ref="G39:H39"/>
    <mergeCell ref="O27:P28"/>
    <mergeCell ref="O29:P30"/>
    <mergeCell ref="Q27:Q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257C-2BC7-D34B-AD64-AC61C96C5E9A}">
  <dimension ref="F9:T48"/>
  <sheetViews>
    <sheetView topLeftCell="C13" workbookViewId="0">
      <selection activeCell="T28" sqref="S28:T29"/>
    </sheetView>
  </sheetViews>
  <sheetFormatPr baseColWidth="10" defaultRowHeight="16" x14ac:dyDescent="0.2"/>
  <cols>
    <col min="9" max="9" width="21" bestFit="1" customWidth="1"/>
    <col min="10" max="10" width="14.6640625" bestFit="1" customWidth="1"/>
    <col min="11" max="11" width="21.33203125" bestFit="1" customWidth="1"/>
    <col min="12" max="12" width="21.83203125" bestFit="1" customWidth="1"/>
    <col min="13" max="13" width="28.6640625" bestFit="1" customWidth="1"/>
    <col min="17" max="17" width="11.6640625" customWidth="1"/>
    <col min="18" max="18" width="18.83203125" customWidth="1"/>
    <col min="19" max="19" width="11.83203125" customWidth="1"/>
    <col min="20" max="20" width="11.1640625" customWidth="1"/>
  </cols>
  <sheetData>
    <row r="9" spans="8:13" ht="23" x14ac:dyDescent="0.25">
      <c r="H9" s="10" t="s">
        <v>0</v>
      </c>
      <c r="I9" s="10" t="s">
        <v>1</v>
      </c>
      <c r="J9" s="10" t="s">
        <v>2</v>
      </c>
      <c r="K9" s="10" t="s">
        <v>8</v>
      </c>
      <c r="L9" s="10" t="s">
        <v>7</v>
      </c>
      <c r="M9" s="10" t="s">
        <v>9</v>
      </c>
    </row>
    <row r="10" spans="8:13" x14ac:dyDescent="0.2">
      <c r="H10" s="6">
        <v>1</v>
      </c>
      <c r="I10" s="7">
        <v>0</v>
      </c>
      <c r="J10" s="2">
        <v>-420000</v>
      </c>
      <c r="K10" s="2">
        <f>J10+I10</f>
        <v>-420000</v>
      </c>
      <c r="L10" s="9">
        <f>1/(1+$J$19)^H10</f>
        <v>0.90909090909090906</v>
      </c>
      <c r="M10" s="2">
        <f t="shared" ref="M10:M17" si="0">L10*K10</f>
        <v>-381818.18181818182</v>
      </c>
    </row>
    <row r="11" spans="8:13" x14ac:dyDescent="0.2">
      <c r="H11" s="6">
        <v>2</v>
      </c>
      <c r="I11" s="7">
        <v>60000</v>
      </c>
      <c r="J11" s="2">
        <v>-680000</v>
      </c>
      <c r="K11" s="2">
        <f t="shared" ref="K11:K17" si="1">J11+I11</f>
        <v>-620000</v>
      </c>
      <c r="L11" s="9">
        <f t="shared" ref="L11:L17" si="2">1/(1+$J$19)^H11</f>
        <v>0.82644628099173545</v>
      </c>
      <c r="M11" s="2">
        <f t="shared" si="0"/>
        <v>-512396.69421487598</v>
      </c>
    </row>
    <row r="12" spans="8:13" x14ac:dyDescent="0.2">
      <c r="H12" s="6">
        <v>3</v>
      </c>
      <c r="I12" s="7">
        <v>400000</v>
      </c>
      <c r="J12" s="2">
        <v>-850000</v>
      </c>
      <c r="K12" s="2">
        <f t="shared" si="1"/>
        <v>-450000</v>
      </c>
      <c r="L12" s="9">
        <f t="shared" si="2"/>
        <v>0.75131480090157754</v>
      </c>
      <c r="M12" s="2">
        <f t="shared" si="0"/>
        <v>-338091.66040570987</v>
      </c>
    </row>
    <row r="13" spans="8:13" x14ac:dyDescent="0.2">
      <c r="H13" s="6">
        <v>4</v>
      </c>
      <c r="I13" s="7">
        <v>1150000</v>
      </c>
      <c r="J13" s="2">
        <v>-1010000</v>
      </c>
      <c r="K13" s="13">
        <f t="shared" si="1"/>
        <v>140000</v>
      </c>
      <c r="L13" s="9">
        <f t="shared" si="2"/>
        <v>0.68301345536507052</v>
      </c>
      <c r="M13" s="1">
        <f t="shared" si="0"/>
        <v>95621.883751109868</v>
      </c>
    </row>
    <row r="14" spans="8:13" x14ac:dyDescent="0.2">
      <c r="H14" s="6">
        <v>5</v>
      </c>
      <c r="I14" s="7">
        <v>2100000</v>
      </c>
      <c r="J14" s="2">
        <v>-1320000</v>
      </c>
      <c r="K14" s="13">
        <f t="shared" si="1"/>
        <v>780000</v>
      </c>
      <c r="L14" s="9">
        <f t="shared" si="2"/>
        <v>0.62092132305915493</v>
      </c>
      <c r="M14" s="1">
        <f t="shared" si="0"/>
        <v>484318.63198614086</v>
      </c>
    </row>
    <row r="15" spans="8:13" x14ac:dyDescent="0.2">
      <c r="H15" s="6">
        <v>6</v>
      </c>
      <c r="I15" s="7">
        <v>3200000</v>
      </c>
      <c r="J15" s="2">
        <v>-1700000</v>
      </c>
      <c r="K15" s="13">
        <f t="shared" si="1"/>
        <v>1500000</v>
      </c>
      <c r="L15" s="9">
        <f t="shared" si="2"/>
        <v>0.56447393005377722</v>
      </c>
      <c r="M15" s="1">
        <f t="shared" si="0"/>
        <v>846710.89508066582</v>
      </c>
    </row>
    <row r="16" spans="8:13" x14ac:dyDescent="0.2">
      <c r="H16" s="6">
        <v>7</v>
      </c>
      <c r="I16" s="7">
        <v>4300000</v>
      </c>
      <c r="J16" s="2">
        <v>-2150000</v>
      </c>
      <c r="K16" s="13">
        <f t="shared" si="1"/>
        <v>2150000</v>
      </c>
      <c r="L16" s="9">
        <f t="shared" si="2"/>
        <v>0.51315811823070645</v>
      </c>
      <c r="M16" s="1">
        <f t="shared" si="0"/>
        <v>1103289.9541960189</v>
      </c>
    </row>
    <row r="17" spans="6:20" x14ac:dyDescent="0.2">
      <c r="H17" s="6">
        <v>8</v>
      </c>
      <c r="I17" s="7">
        <v>5200000</v>
      </c>
      <c r="J17" s="2">
        <v>-2500000</v>
      </c>
      <c r="K17" s="13">
        <f t="shared" si="1"/>
        <v>2700000</v>
      </c>
      <c r="L17" s="9">
        <f t="shared" si="2"/>
        <v>0.46650738020973315</v>
      </c>
      <c r="M17" s="1">
        <f t="shared" si="0"/>
        <v>1259569.9265662795</v>
      </c>
    </row>
    <row r="19" spans="6:20" x14ac:dyDescent="0.2">
      <c r="I19" t="s">
        <v>6</v>
      </c>
      <c r="J19" s="8">
        <v>0.1</v>
      </c>
      <c r="L19" t="s">
        <v>10</v>
      </c>
      <c r="M19" s="1">
        <f>SUM(M10:M17)</f>
        <v>2557204.7551414473</v>
      </c>
    </row>
    <row r="20" spans="6:20" x14ac:dyDescent="0.2">
      <c r="F20" t="s">
        <v>12</v>
      </c>
    </row>
    <row r="23" spans="6:20" ht="23" x14ac:dyDescent="0.25">
      <c r="H23" s="10" t="s">
        <v>0</v>
      </c>
      <c r="I23" s="10" t="s">
        <v>1</v>
      </c>
      <c r="J23" s="10" t="s">
        <v>2</v>
      </c>
      <c r="K23" s="10" t="s">
        <v>8</v>
      </c>
      <c r="L23" s="10" t="s">
        <v>7</v>
      </c>
      <c r="M23" s="10" t="s">
        <v>9</v>
      </c>
    </row>
    <row r="24" spans="6:20" x14ac:dyDescent="0.2">
      <c r="H24" s="6">
        <v>1</v>
      </c>
      <c r="I24" s="7">
        <f>I10*1.05</f>
        <v>0</v>
      </c>
      <c r="J24" s="2">
        <f>J10</f>
        <v>-420000</v>
      </c>
      <c r="K24" s="2">
        <f>I24+J24</f>
        <v>-420000</v>
      </c>
      <c r="L24" s="9">
        <f>1/(1+$J$33)^H24</f>
        <v>0.90909090909090906</v>
      </c>
      <c r="M24" s="2">
        <f t="shared" ref="M24:M31" si="3">L24*K24</f>
        <v>-381818.18181818182</v>
      </c>
    </row>
    <row r="25" spans="6:20" ht="17" thickBot="1" x14ac:dyDescent="0.25">
      <c r="H25" s="6">
        <v>2</v>
      </c>
      <c r="I25" s="7">
        <f t="shared" ref="I25:I31" si="4">I11*1.05</f>
        <v>63000</v>
      </c>
      <c r="J25" s="2">
        <f t="shared" ref="J25:J31" si="5">J11</f>
        <v>-680000</v>
      </c>
      <c r="K25" s="2">
        <f t="shared" ref="K25:K31" si="6">I25+J25</f>
        <v>-617000</v>
      </c>
      <c r="L25" s="9">
        <f t="shared" ref="L25:L31" si="7">1/(1+$J$33)^H25</f>
        <v>0.82644628099173545</v>
      </c>
      <c r="M25" s="2">
        <f t="shared" si="3"/>
        <v>-509917.35537190078</v>
      </c>
    </row>
    <row r="26" spans="6:20" x14ac:dyDescent="0.2">
      <c r="H26" s="6">
        <v>3</v>
      </c>
      <c r="I26" s="7">
        <f t="shared" si="4"/>
        <v>420000</v>
      </c>
      <c r="J26" s="2">
        <f t="shared" si="5"/>
        <v>-850000</v>
      </c>
      <c r="K26" s="2">
        <f t="shared" si="6"/>
        <v>-430000</v>
      </c>
      <c r="L26" s="9">
        <f t="shared" si="7"/>
        <v>0.75131480090157754</v>
      </c>
      <c r="M26" s="2">
        <f t="shared" si="3"/>
        <v>-323065.36438767833</v>
      </c>
      <c r="Q26" s="58" t="s">
        <v>17</v>
      </c>
      <c r="R26" s="59"/>
      <c r="S26" s="67">
        <v>0.05</v>
      </c>
      <c r="T26" s="60">
        <v>0.1</v>
      </c>
    </row>
    <row r="27" spans="6:20" ht="17" thickBot="1" x14ac:dyDescent="0.25">
      <c r="H27" s="6">
        <v>4</v>
      </c>
      <c r="I27" s="7">
        <f t="shared" si="4"/>
        <v>1207500</v>
      </c>
      <c r="J27" s="2">
        <f t="shared" si="5"/>
        <v>-1010000</v>
      </c>
      <c r="K27" s="1">
        <f t="shared" si="6"/>
        <v>197500</v>
      </c>
      <c r="L27" s="9">
        <f t="shared" si="7"/>
        <v>0.68301345536507052</v>
      </c>
      <c r="M27" s="1">
        <f t="shared" si="3"/>
        <v>134895.15743460142</v>
      </c>
      <c r="Q27" s="64"/>
      <c r="R27" s="65"/>
      <c r="S27" s="69"/>
      <c r="T27" s="66"/>
    </row>
    <row r="28" spans="6:20" x14ac:dyDescent="0.2">
      <c r="H28" s="6">
        <v>5</v>
      </c>
      <c r="I28" s="7">
        <f t="shared" si="4"/>
        <v>2205000</v>
      </c>
      <c r="J28" s="2">
        <f t="shared" si="5"/>
        <v>-1320000</v>
      </c>
      <c r="K28" s="1">
        <f t="shared" si="6"/>
        <v>885000</v>
      </c>
      <c r="L28" s="9">
        <f t="shared" si="7"/>
        <v>0.62092132305915493</v>
      </c>
      <c r="M28" s="1">
        <f t="shared" si="3"/>
        <v>549515.37090735207</v>
      </c>
      <c r="Q28" s="61" t="s">
        <v>13</v>
      </c>
      <c r="R28" s="62"/>
      <c r="S28" s="68"/>
      <c r="T28" s="63"/>
    </row>
    <row r="29" spans="6:20" ht="17" thickBot="1" x14ac:dyDescent="0.25">
      <c r="H29" s="6">
        <v>6</v>
      </c>
      <c r="I29" s="7">
        <f t="shared" si="4"/>
        <v>3360000</v>
      </c>
      <c r="J29" s="2">
        <f t="shared" si="5"/>
        <v>-1700000</v>
      </c>
      <c r="K29" s="1">
        <f t="shared" si="6"/>
        <v>1660000</v>
      </c>
      <c r="L29" s="9">
        <f t="shared" si="7"/>
        <v>0.56447393005377722</v>
      </c>
      <c r="M29" s="1">
        <f t="shared" si="3"/>
        <v>937026.72388927022</v>
      </c>
      <c r="Q29" s="64"/>
      <c r="R29" s="65"/>
      <c r="S29" s="69"/>
      <c r="T29" s="66"/>
    </row>
    <row r="30" spans="6:20" x14ac:dyDescent="0.2">
      <c r="H30" s="6">
        <v>7</v>
      </c>
      <c r="I30" s="7">
        <f t="shared" si="4"/>
        <v>4515000</v>
      </c>
      <c r="J30" s="2">
        <f t="shared" si="5"/>
        <v>-2150000</v>
      </c>
      <c r="K30" s="1">
        <f t="shared" si="6"/>
        <v>2365000</v>
      </c>
      <c r="L30" s="9">
        <f t="shared" si="7"/>
        <v>0.51315811823070645</v>
      </c>
      <c r="M30" s="1">
        <f t="shared" si="3"/>
        <v>1213618.9496156208</v>
      </c>
    </row>
    <row r="31" spans="6:20" x14ac:dyDescent="0.2">
      <c r="H31" s="6">
        <v>8</v>
      </c>
      <c r="I31" s="7">
        <f t="shared" si="4"/>
        <v>5460000</v>
      </c>
      <c r="J31" s="2">
        <f t="shared" si="5"/>
        <v>-2500000</v>
      </c>
      <c r="K31" s="1">
        <f t="shared" si="6"/>
        <v>2960000</v>
      </c>
      <c r="L31" s="9">
        <f t="shared" si="7"/>
        <v>0.46650738020973315</v>
      </c>
      <c r="M31" s="1">
        <f t="shared" si="3"/>
        <v>1380861.8454208102</v>
      </c>
    </row>
    <row r="33" spans="8:13" x14ac:dyDescent="0.2">
      <c r="I33" t="s">
        <v>6</v>
      </c>
      <c r="J33" s="8">
        <v>0.1</v>
      </c>
      <c r="L33" t="s">
        <v>10</v>
      </c>
      <c r="M33" s="1">
        <f>SUM(M24:M31)</f>
        <v>3001117.1456898935</v>
      </c>
    </row>
    <row r="38" spans="8:13" ht="23" x14ac:dyDescent="0.25">
      <c r="H38" s="10" t="s">
        <v>0</v>
      </c>
      <c r="I38" s="10" t="s">
        <v>1</v>
      </c>
      <c r="J38" s="10" t="s">
        <v>2</v>
      </c>
      <c r="K38" s="10" t="s">
        <v>8</v>
      </c>
      <c r="L38" s="10" t="s">
        <v>7</v>
      </c>
      <c r="M38" s="10" t="s">
        <v>9</v>
      </c>
    </row>
    <row r="39" spans="8:13" x14ac:dyDescent="0.2">
      <c r="H39" s="6">
        <v>1</v>
      </c>
      <c r="I39" s="7">
        <v>0</v>
      </c>
      <c r="J39" s="2">
        <f>J24</f>
        <v>-420000</v>
      </c>
      <c r="K39" s="2">
        <f>J39+I39</f>
        <v>-420000</v>
      </c>
      <c r="L39" s="9">
        <f>1/(1+$J$48)^H39</f>
        <v>0.90909090909090906</v>
      </c>
      <c r="M39" s="2">
        <f t="shared" ref="M39:M46" si="8">L39*K39</f>
        <v>-381818.18181818182</v>
      </c>
    </row>
    <row r="40" spans="8:13" x14ac:dyDescent="0.2">
      <c r="H40" s="6">
        <v>2</v>
      </c>
      <c r="I40" s="7">
        <f>I11*1.1</f>
        <v>66000</v>
      </c>
      <c r="J40" s="2">
        <f t="shared" ref="J40:J46" si="9">J25</f>
        <v>-680000</v>
      </c>
      <c r="K40" s="2">
        <f t="shared" ref="K40:K46" si="10">J40+I40</f>
        <v>-614000</v>
      </c>
      <c r="L40" s="9">
        <f t="shared" ref="L40:L46" si="11">1/(1+$J$48)^H40</f>
        <v>0.82644628099173545</v>
      </c>
      <c r="M40" s="2">
        <f t="shared" si="8"/>
        <v>-507438.01652892557</v>
      </c>
    </row>
    <row r="41" spans="8:13" x14ac:dyDescent="0.2">
      <c r="H41" s="6">
        <v>3</v>
      </c>
      <c r="I41" s="7">
        <f t="shared" ref="I41:I46" si="12">I12*1.1</f>
        <v>440000.00000000006</v>
      </c>
      <c r="J41" s="2">
        <f t="shared" si="9"/>
        <v>-850000</v>
      </c>
      <c r="K41" s="2">
        <f t="shared" si="10"/>
        <v>-409999.99999999994</v>
      </c>
      <c r="L41" s="9">
        <f t="shared" si="11"/>
        <v>0.75131480090157754</v>
      </c>
      <c r="M41" s="2">
        <f t="shared" si="8"/>
        <v>-308039.06836964673</v>
      </c>
    </row>
    <row r="42" spans="8:13" x14ac:dyDescent="0.2">
      <c r="H42" s="6">
        <v>4</v>
      </c>
      <c r="I42" s="7">
        <f t="shared" si="12"/>
        <v>1265000</v>
      </c>
      <c r="J42" s="2">
        <f t="shared" si="9"/>
        <v>-1010000</v>
      </c>
      <c r="K42" s="13">
        <f t="shared" si="10"/>
        <v>255000</v>
      </c>
      <c r="L42" s="9">
        <f t="shared" si="11"/>
        <v>0.68301345536507052</v>
      </c>
      <c r="M42" s="1">
        <f t="shared" si="8"/>
        <v>174168.43111809299</v>
      </c>
    </row>
    <row r="43" spans="8:13" x14ac:dyDescent="0.2">
      <c r="H43" s="6">
        <v>5</v>
      </c>
      <c r="I43" s="7">
        <f t="shared" si="12"/>
        <v>2310000</v>
      </c>
      <c r="J43" s="2">
        <f t="shared" si="9"/>
        <v>-1320000</v>
      </c>
      <c r="K43" s="13">
        <f t="shared" si="10"/>
        <v>990000</v>
      </c>
      <c r="L43" s="9">
        <f t="shared" si="11"/>
        <v>0.62092132305915493</v>
      </c>
      <c r="M43" s="1">
        <f t="shared" si="8"/>
        <v>614712.10982856341</v>
      </c>
    </row>
    <row r="44" spans="8:13" x14ac:dyDescent="0.2">
      <c r="H44" s="6">
        <v>6</v>
      </c>
      <c r="I44" s="7">
        <f t="shared" si="12"/>
        <v>3520000.0000000005</v>
      </c>
      <c r="J44" s="2">
        <f t="shared" si="9"/>
        <v>-1700000</v>
      </c>
      <c r="K44" s="13">
        <f t="shared" si="10"/>
        <v>1820000.0000000005</v>
      </c>
      <c r="L44" s="9">
        <f t="shared" si="11"/>
        <v>0.56447393005377722</v>
      </c>
      <c r="M44" s="1">
        <f t="shared" si="8"/>
        <v>1027342.5526978748</v>
      </c>
    </row>
    <row r="45" spans="8:13" x14ac:dyDescent="0.2">
      <c r="H45" s="6">
        <v>7</v>
      </c>
      <c r="I45" s="7">
        <f t="shared" si="12"/>
        <v>4730000</v>
      </c>
      <c r="J45" s="2">
        <f t="shared" si="9"/>
        <v>-2150000</v>
      </c>
      <c r="K45" s="13">
        <f t="shared" si="10"/>
        <v>2580000</v>
      </c>
      <c r="L45" s="9">
        <f t="shared" si="11"/>
        <v>0.51315811823070645</v>
      </c>
      <c r="M45" s="1">
        <f t="shared" si="8"/>
        <v>1323947.9450352227</v>
      </c>
    </row>
    <row r="46" spans="8:13" x14ac:dyDescent="0.2">
      <c r="H46" s="6">
        <v>8</v>
      </c>
      <c r="I46" s="7">
        <f t="shared" si="12"/>
        <v>5720000</v>
      </c>
      <c r="J46" s="2">
        <f t="shared" si="9"/>
        <v>-2500000</v>
      </c>
      <c r="K46" s="13">
        <f t="shared" si="10"/>
        <v>3220000</v>
      </c>
      <c r="L46" s="9">
        <f t="shared" si="11"/>
        <v>0.46650738020973315</v>
      </c>
      <c r="M46" s="1">
        <f t="shared" si="8"/>
        <v>1502153.7642753408</v>
      </c>
    </row>
    <row r="48" spans="8:13" x14ac:dyDescent="0.2">
      <c r="I48" t="s">
        <v>6</v>
      </c>
      <c r="J48" s="8">
        <v>0.1</v>
      </c>
      <c r="L48" t="s">
        <v>10</v>
      </c>
      <c r="M48" s="1">
        <f>SUM(M39:M46)</f>
        <v>3445029.5362383407</v>
      </c>
    </row>
  </sheetData>
  <mergeCells count="6">
    <mergeCell ref="Q26:R27"/>
    <mergeCell ref="S26:S27"/>
    <mergeCell ref="T26:T27"/>
    <mergeCell ref="Q28:R29"/>
    <mergeCell ref="S28:S29"/>
    <mergeCell ref="T28:T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01_actual_cash_flow</vt:lpstr>
      <vt:lpstr>DCF</vt:lpstr>
      <vt:lpstr>Finding IRR with trial and erro</vt:lpstr>
      <vt:lpstr>Finding IRR with goalseek</vt:lpstr>
      <vt:lpstr>Expense Sensitivity</vt:lpstr>
      <vt:lpstr>Revenue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Yimin Li</cp:lastModifiedBy>
  <dcterms:created xsi:type="dcterms:W3CDTF">2026-08-24T08:14:25Z</dcterms:created>
  <dcterms:modified xsi:type="dcterms:W3CDTF">2026-09-11T02:23:02Z</dcterms:modified>
</cp:coreProperties>
</file>